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20"/>
  <workbookPr/>
  <mc:AlternateContent xmlns:mc="http://schemas.openxmlformats.org/markup-compatibility/2006">
    <mc:Choice Requires="x15">
      <x15ac:absPath xmlns:x15ac="http://schemas.microsoft.com/office/spreadsheetml/2010/11/ac" url="/Users/andrewlevy/Documents/QBIO465/QBIO_465_final_project/data/"/>
    </mc:Choice>
  </mc:AlternateContent>
  <xr:revisionPtr revIDLastSave="0" documentId="8_{98C4BA89-4B98-6B48-B777-48246B6FE4F7}" xr6:coauthVersionLast="47" xr6:coauthVersionMax="47" xr10:uidLastSave="{00000000-0000-0000-0000-000000000000}"/>
  <bookViews>
    <workbookView xWindow="0" yWindow="500" windowWidth="28800" windowHeight="141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5" i="1" l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3" i="1"/>
  <c r="P4" i="1"/>
  <c r="P5" i="1"/>
  <c r="P6" i="1"/>
  <c r="P7" i="1"/>
  <c r="P8" i="1"/>
  <c r="P9" i="1"/>
  <c r="P10" i="1"/>
  <c r="P11" i="1"/>
  <c r="P12" i="1"/>
  <c r="P13" i="1"/>
  <c r="P14" i="1"/>
  <c r="P2" i="1"/>
</calcChain>
</file>

<file path=xl/sharedStrings.xml><?xml version="1.0" encoding="utf-8"?>
<sst xmlns="http://schemas.openxmlformats.org/spreadsheetml/2006/main" count="794" uniqueCount="344">
  <si>
    <t>Name</t>
  </si>
  <si>
    <t>Smiles</t>
  </si>
  <si>
    <t>Target</t>
  </si>
  <si>
    <t>COC1=CC(CCN(CC2)CCN2CCCC3=CC=CC=C3)=CC=C1OC</t>
  </si>
  <si>
    <t>[11C]SA4503</t>
  </si>
  <si>
    <t>Yes</t>
  </si>
  <si>
    <t>Sigma</t>
  </si>
  <si>
    <t>COC1=C(OC)C=C(/C=C/C2=NC3C(C(N(C)C(N3C)=O)=O)N2C)C=C1OC</t>
  </si>
  <si>
    <t>[11C]TMSX</t>
  </si>
  <si>
    <t>Alpha2A</t>
  </si>
  <si>
    <t>O=C(N1CCC)C2NC(C3CCCC3)=NC2N(CCCF)C1=O</t>
  </si>
  <si>
    <t>[18F]CPFPX</t>
  </si>
  <si>
    <t>A1A</t>
  </si>
  <si>
    <t>[18F]Spiperone</t>
  </si>
  <si>
    <t>O=C(CCCN1CCC2(N(C3=CC=CC=C3)CNC2=O)CC1)C4=CC=C(F)C=C4</t>
  </si>
  <si>
    <t>D2</t>
  </si>
  <si>
    <t>[11C]DASB</t>
  </si>
  <si>
    <t>SERT</t>
  </si>
  <si>
    <t>NC1=C(SC2=CC=CC=C2CN(C)C)C=CC(C#N)=C1</t>
  </si>
  <si>
    <t>[11C]MADAM</t>
  </si>
  <si>
    <t>NC1=C(SC2=CC=CC=C2CN(C)C)C=CC(C)=C1</t>
  </si>
  <si>
    <t>[11C]CFT</t>
  </si>
  <si>
    <t>DAT</t>
  </si>
  <si>
    <t>FC1=CC=C([C@@H]2[C@H](C(OC)=O)[C@H](N3C)CC[C@H]3C2)C=C1</t>
  </si>
  <si>
    <t>[11C]PIB</t>
  </si>
  <si>
    <t>OC1=CC2=C(N=C(C3=CC=C(NC)C=C3)S2)C=C1</t>
  </si>
  <si>
    <t>Beta-amyloid</t>
  </si>
  <si>
    <t>[11C]PBR28</t>
  </si>
  <si>
    <t>PBR</t>
  </si>
  <si>
    <t>COC1=CC=CC=C1CN(C(C)=O)C2=CN=CC=C2OC3=CC=CC=C3</t>
  </si>
  <si>
    <t>[11C]WAY100635</t>
  </si>
  <si>
    <t>O=C(C1CCCCC1)N(CCN2CCN(C3=C(OC)C=CC=C3)CC2)C4=NC=CC=C4</t>
  </si>
  <si>
    <t>5HT1A</t>
  </si>
  <si>
    <t>[11C]Raclopride</t>
  </si>
  <si>
    <t>D2/D3</t>
  </si>
  <si>
    <t>OC1=C(C(NC[C@H]2N(CC)CCC2)=O)C(OC)=C(Cl)C=C1Cl</t>
  </si>
  <si>
    <t>[11C]DTBZ</t>
  </si>
  <si>
    <t>VMAT2</t>
  </si>
  <si>
    <t>COC1=C(OC)C=C([C@](C[C@@H](O)[C@H](CC(C)C)C2)([H])N2CC3)C3=C1</t>
  </si>
  <si>
    <t>[11C]Diprenorphine</t>
  </si>
  <si>
    <t>Opinoid receptor</t>
  </si>
  <si>
    <t>OC1=CC=C2C3=C1O[C@@H]([C@]4(OC)[C@@H](C(C)(O)C)C5)[C@@]3(CCN6C7CC7)[C@@]5(CC4)[C@H]6C2</t>
  </si>
  <si>
    <t>[11C]Carfentanil</t>
  </si>
  <si>
    <t>NMDA</t>
  </si>
  <si>
    <t>O=C(OC)C(CC1)(N(C2=CC=CC=C2)C(CC)=O)CCN1CCC3=CC=CC=C3</t>
  </si>
  <si>
    <t>[18F]MPPF</t>
  </si>
  <si>
    <t>COC1=C(N2CCN(CCN(C3=CC=CC=N3)C(C4=CC=C(F)C=C4)=O)CC2)C=CC=C1</t>
  </si>
  <si>
    <t>[18F]Altanserin</t>
  </si>
  <si>
    <t>5HT2A</t>
  </si>
  <si>
    <t>O=C(C1=CC=C(F)C=C1)C2CCN(CCN3C(NC(C=CC=C4)=C4C3=O)=S)CC2</t>
  </si>
  <si>
    <t>[11C]GR205171</t>
  </si>
  <si>
    <t>NK1</t>
  </si>
  <si>
    <t>COC(C=CC(N1C(C(F)(F)F)=NN=N1)=C2)=C2CNC(CCCN3)C3C4=CC=CC=C4</t>
  </si>
  <si>
    <t>[11C]Harmine</t>
  </si>
  <si>
    <t>MAO-A</t>
  </si>
  <si>
    <t>CC1=NC=CC2=C1NC3=C2C=CC(OC)=C3</t>
  </si>
  <si>
    <t>[18F]FP-TZTP</t>
  </si>
  <si>
    <t>M2</t>
  </si>
  <si>
    <t>CN1CCC=C(C2=NSN=C2SCCCF)C1</t>
  </si>
  <si>
    <t>[18F]SPA-RQ</t>
  </si>
  <si>
    <t>FCOC1=CC=C(N2N=NN=C2C(F)(F)F)C=C1CN[C@@H]3[C@H](C4=CC=CC=C4)NCCC3</t>
  </si>
  <si>
    <t>[11C]FLB457</t>
  </si>
  <si>
    <t>COC1=CC(Br)=CC(C(NC[C@H]2N(CC)CCC2)=O)=C1OC</t>
  </si>
  <si>
    <t>[11C]PE21</t>
  </si>
  <si>
    <t>CC1=CC=C([C@@H]2[C@H](C(OC)=O)[C@H]3CC[C@H](N3C/C=C/I)C2)C=C1</t>
  </si>
  <si>
    <t>[11C]GSK189254A</t>
  </si>
  <si>
    <t>H3</t>
  </si>
  <si>
    <t>O=C(NC)C1=CN=C(OC2=CC(CCN(C3CCC3)CC4)=C4C=C2)C=C1</t>
  </si>
  <si>
    <t>[11C]GSK215083</t>
  </si>
  <si>
    <t>5HT6</t>
  </si>
  <si>
    <t>O=S(C1=CC2=CC=CC(N3CCN(C)CC3)=C2N=C1)(C4=CC(F)=CC=C4)=O</t>
  </si>
  <si>
    <t>[11C]L-703717</t>
  </si>
  <si>
    <t>COC1=CC=C(CC2=CC=CC(C3=C(O)C(C=CC(Cl)=C4)=C4NC3=O)=C2)C=C1</t>
  </si>
  <si>
    <t>[11C]MPDX</t>
  </si>
  <si>
    <t>[11C]OMAR</t>
  </si>
  <si>
    <t>CB1</t>
  </si>
  <si>
    <t>COC1=CC=C(C2=C(C#N)C(C(NN3CCCCC3)=O)=NN2C4=CC=C(Cl)C=C4Cl)C=C1</t>
  </si>
  <si>
    <t>PDE4</t>
  </si>
  <si>
    <t>CC(C=CC([C@@H]1CNC(C1)=O)=C2)=C2OC3CCCC3</t>
  </si>
  <si>
    <t>COC1=C(N2CCN(CC[C@@H](C3=CC=CC=C3)C(N4CCCCCC4)=O)CC2)C=CC=C1</t>
  </si>
  <si>
    <t>OC1=C(N2CCN(CCN(C3=NC=CC=C3)C(C4CCCCC4)=O)CC2)C=CC=C1</t>
  </si>
  <si>
    <t>[18F]FCWAY</t>
  </si>
  <si>
    <t>O=C(C1CCC(F)CC1)N(C2=NC=CC=C2)CCN(CC3)CCN3C4=C(OC)C=CC=C4</t>
  </si>
  <si>
    <t>[18F]SP203</t>
  </si>
  <si>
    <t>mGluR5</t>
  </si>
  <si>
    <t>FC1=CC(C#CC2=CSC(CF)=N2)=CC(C#N)=C1</t>
  </si>
  <si>
    <t>[11C]-ABP688</t>
  </si>
  <si>
    <t>CC1=NC(C#CC(CCC/2)=CC2=N\OC)=CC=C1</t>
  </si>
  <si>
    <t>[18F]FMeNER-D2</t>
  </si>
  <si>
    <t>NET</t>
  </si>
  <si>
    <t>FC([2H])([2H])OC(C=CC=C1)=C1O[C@H](C2CNCCO2)C3=CC=CC=C3</t>
  </si>
  <si>
    <t>[18F]MK9470</t>
  </si>
  <si>
    <t>FCCOC1=CC=C(C[C@H]([C@H](C)NC(C(C)(C)OC2=CC=C(C)C=N2)=O)C3=CC=CC=C3)C=C1</t>
  </si>
  <si>
    <t>[18F]Fallypride</t>
  </si>
  <si>
    <t>COC1=C(OC)C(C(NC[C@@H]2CCCN2CC=C)=O)=CC(CCCF)=C1</t>
  </si>
  <si>
    <t>[11C]GR103545</t>
  </si>
  <si>
    <t>KOR</t>
  </si>
  <si>
    <t>ClC1=C(Cl)C=C(CC(N2CCN(C(OC)=O)C[C@H]2CN3CCCC3)=O)C=C1</t>
  </si>
  <si>
    <t>[11C]MDL100907</t>
  </si>
  <si>
    <t>FC1=CC=C(CCN2CCC([C@@H](O)C3=CC=CC(OC)=C3OC)CC2)C=C1</t>
  </si>
  <si>
    <t>[11C]NNC-112</t>
  </si>
  <si>
    <t>D1</t>
  </si>
  <si>
    <t>CN(CCC1=C2C=C(O)C(Cl)=C1)C[C@@H]2C3=CC=CC4=C3OC=C4</t>
  </si>
  <si>
    <t>[11C]SB207145</t>
  </si>
  <si>
    <t>5HT4</t>
  </si>
  <si>
    <t>NC1=C(OCCO2)C2=C(C(OCC3CCN(C)CC3)=O)C=C1Cl</t>
  </si>
  <si>
    <t>[18F]AV45</t>
  </si>
  <si>
    <t>FCCOCCOCCOC1=CC=C(/C=C/C2=CC=C(NC)C=C2)C=N1</t>
  </si>
  <si>
    <t>[18F]AZD4694</t>
  </si>
  <si>
    <t>OC1=CC=C2C(OC(C3=C(F)N=C(NC)C=C3)=C2)=C1</t>
  </si>
  <si>
    <t>[18F]FDNNP</t>
  </si>
  <si>
    <t>FCCOC1=CC=C2C(OC(/C=C/C3=CN=C(N(C)C)S3)=N2)=C1</t>
  </si>
  <si>
    <t>[18F]Flutemetamol</t>
  </si>
  <si>
    <t>OC1=CC=C(N=C2C3=CC=C(NC)C(F)=C3)C(S2)=C1</t>
  </si>
  <si>
    <t>[11C]MeNER</t>
  </si>
  <si>
    <t>COC(C=CC=C1)=C1O[C@H](C2CNCCO2)C3=CC=CC=C3</t>
  </si>
  <si>
    <t>[11C]PMP</t>
  </si>
  <si>
    <t>AchE</t>
  </si>
  <si>
    <t>O=C(CC)OC1CCN(C)CC1</t>
  </si>
  <si>
    <t>Mu-opioid</t>
  </si>
  <si>
    <t>[18F]AFM</t>
  </si>
  <si>
    <t>CN(C)CC1=CC=CC=C1SC2=C(N)C=C(CF)C=C2</t>
  </si>
  <si>
    <t>[18F]FP-DTBZ</t>
  </si>
  <si>
    <t>FCCCOC1=C(OC)C=C([C@](C[C@@H](O)[C@H](CC(C)C)C2)([H])N2CC3)C3=C1</t>
  </si>
  <si>
    <t>[11C]Deprenyl</t>
  </si>
  <si>
    <t>MAO-B</t>
  </si>
  <si>
    <t>C[C@H](N(C)CC#C)CC1=CC=CC=C1</t>
  </si>
  <si>
    <t>[11C](+)-PHNO</t>
  </si>
  <si>
    <t>OC1=CC=C2C([C@@H](CCCN3CCC)[C@H]3CC2)=C1</t>
  </si>
  <si>
    <t>[11C]NAD-299</t>
  </si>
  <si>
    <t>FC1=C2C(C[C@@H](N(C3CCC3)C4CCC4)CO2)=C(C(N)=O)C=C1</t>
  </si>
  <si>
    <t>[18F]Setoperone</t>
  </si>
  <si>
    <t>FC1=CC=C(C(C2CCN(CCC3=C(C)N=C4N(CCS4)C3=O)CC2)=O)C=C1</t>
  </si>
  <si>
    <t>[11C]MCN5652</t>
  </si>
  <si>
    <t>CSC(C=C1)=CC=C1[C@@H]2CN3[C@@](CCC3)([H])C4=CC=CC=C42</t>
  </si>
  <si>
    <t>[18F]FECNT</t>
  </si>
  <si>
    <t>ClC1=CC=C([C@@H]2[C@H](C(OC)=O)[C@H](N3CCF)CC[C@H]3C2)C=C1</t>
  </si>
  <si>
    <t>[18F]Cyclofoxy</t>
  </si>
  <si>
    <t>Opioid receptor</t>
  </si>
  <si>
    <t>FC1[C@H]2C3(CCN4CC5CC5)C6=C(O2)C(O)=CC=C6CC4[C@]3(O)CC1</t>
  </si>
  <si>
    <t>[11C]CP-126998</t>
  </si>
  <si>
    <t>[11C]NMPB</t>
  </si>
  <si>
    <t>muscarinic</t>
  </si>
  <si>
    <t>OC(C1=CC=CC=C1)(C(OC2CCCN(C)C2)=O)C3=CC=CC=C3</t>
  </si>
  <si>
    <t>O=C(C1)N(C)C2=C1C=C(C(CCC3CCN(CC4=CC=CC=C4)CC3)=NO5)C5=C2</t>
  </si>
  <si>
    <t>FC1=C(OC[C@@H]2CCN2)C=CC=N1</t>
  </si>
  <si>
    <t>[18F]FA-85380</t>
  </si>
  <si>
    <t>No</t>
  </si>
  <si>
    <t>O=C(N(C)[C@H](C)CC)C1=CC2=CC=CC=C2C(C3=CC=CC=C3Cl)=N1</t>
  </si>
  <si>
    <t>[11C]-(R)=PK11195</t>
  </si>
  <si>
    <t>[11C]DMP696</t>
  </si>
  <si>
    <t>CRF1</t>
  </si>
  <si>
    <t>COCCN(CCOC)CC1=CC(C)=NC2=C(C3=CC=C(Cl)C=C3Cl)C(C)=NN21</t>
  </si>
  <si>
    <t>[11C]GSK931145</t>
  </si>
  <si>
    <t>GlyT</t>
  </si>
  <si>
    <t>CN(C)C1(CCCC1)C(NC(C2=C(C)C=CC=C2C)=O)C3=CC=CC=C3</t>
  </si>
  <si>
    <t>[11C]CPEB</t>
  </si>
  <si>
    <t>ORL-1</t>
  </si>
  <si>
    <t>O=C1N([C@H]2[C@H](CO)CN(CC3CCCCCCC3)CC2)C(C=CC=C4)=C4N1CC</t>
  </si>
  <si>
    <t>[18F]FEPPA</t>
  </si>
  <si>
    <t>CC(N(CC1=C(OCCF)C=CC=C1)C(C=NC=C2)=C2OC3=CC=CC=C3)=O</t>
  </si>
  <si>
    <t>5HT3</t>
  </si>
  <si>
    <t>[11C]KF17643</t>
  </si>
  <si>
    <t>CCCOC1=NC2=CC=CC=C2C(C(OC3CC(CC4)N(C)C4C3)=O)=C1</t>
  </si>
  <si>
    <t>[11C]SA6298</t>
  </si>
  <si>
    <t>Sigma1</t>
  </si>
  <si>
    <t>ClC1=C(Cl)C=CC(CCCN2CCN(CCC3=CC=C(OC)C(OC)=C3)CC2)=C1</t>
  </si>
  <si>
    <t>[11C]Citalopram</t>
  </si>
  <si>
    <t>5HT</t>
  </si>
  <si>
    <t>FC(C=C1)=CC=C1C2(CCCN(C)C)C3=CC=C(C#N)C=C3CO2</t>
  </si>
  <si>
    <t>[11C]MPM</t>
  </si>
  <si>
    <t>COC1=CC=CC(CCC2=CC=CC=C2OCC[C@H]3N(C)C[C@H](O)C3)=C1</t>
  </si>
  <si>
    <t>[11C]NE100</t>
  </si>
  <si>
    <t>COC1=CC=C(CCN(CCC)CCC)C=C1OCCC2=CC=CC=C2</t>
  </si>
  <si>
    <t>[11C]6FPWAY</t>
  </si>
  <si>
    <t>OC1=C(N2CCN(CCN(C3=NC(F)=CC=C3)C(C4CCCCC4)=O)CC2)C=CC=C1</t>
  </si>
  <si>
    <t>[11C]4-MMC</t>
  </si>
  <si>
    <t>D3</t>
  </si>
  <si>
    <t>O=C(NCCCCN1CCN(C2=C(OC)C=CC=C2)CC1)/C=C/C3=CC=C(OC)C=C3</t>
  </si>
  <si>
    <t>[11C]SCH442416</t>
  </si>
  <si>
    <t>[11C]Preladenant</t>
  </si>
  <si>
    <t>[11C]KW6002</t>
  </si>
  <si>
    <t>COC1=CC(/C=C/C2=NC(N(CC)C(N(CC)C3=O)=O)=C3N2C)=CC=C1OC</t>
  </si>
  <si>
    <t>[18F]MNI-444</t>
  </si>
  <si>
    <t>[11C]MePPEP</t>
  </si>
  <si>
    <t>O=C1[C@H](N[C@H](C)C2=CC=CC=C2)C[C@H](C3=CC=CC(OC)=C3)N1C4=CC=C(C(F)(F)F)C=C4</t>
  </si>
  <si>
    <t>[18F]FMPEP-d2</t>
  </si>
  <si>
    <t>O=C1[C@H](N[C@H](C)C2=CC=CC=C2)C[C@H](C3=CC=CC(OC([2H])(F)[2H])=C3)N1C4=CC=C(C(F)(F)F)C=C4</t>
  </si>
  <si>
    <t>[11C]SD5024</t>
  </si>
  <si>
    <t>ClC1=CC=C(C2=NN(/C(N)=N/S(C3=CC=C(C#N)C=C3)(=O)=O)C[C@@H]2C4=CC=CC=C4)C=C1</t>
  </si>
  <si>
    <t>[11C]MNPA</t>
  </si>
  <si>
    <t>OC1=CC=C2C(C3=CC(OC)=CC(CCN4CCC)=C3[C@H]4C2)=C1O</t>
  </si>
  <si>
    <t>[11C]NPA</t>
  </si>
  <si>
    <t>D2/D3 agonist</t>
  </si>
  <si>
    <t>OC1=CC=C2C(C3=CC=CC(CCN4CCC)=C3[C@H]4C2)=C1O</t>
  </si>
  <si>
    <t>[11C]Doxepin</t>
  </si>
  <si>
    <t>CN(C)CC/C=C1C2=CC=CC=C2COC3=C/1C=CC=C3</t>
  </si>
  <si>
    <t>[18F]FMH3</t>
  </si>
  <si>
    <t>O=C(O[C@@]12CC[C@@H](C(N(CCN3CCCCC3)C)=O)CC2)C4=C1C=CC(OC([2H])(F)[2H])=C4</t>
  </si>
  <si>
    <t>COC1=C(N2CCN(CCN(C3=NC=CC=C3)C(C4CC[C@H](CF)CC4)=O)CC2)C=CC=C1</t>
  </si>
  <si>
    <t>[18F]MefWAY</t>
  </si>
  <si>
    <t>[11C]CUMI-101</t>
  </si>
  <si>
    <t>O=C1C=NN(CCCCN2CCN(C3=CC=CC=C3OC)CC2)C(N1C)=O</t>
  </si>
  <si>
    <t>[11C]AZ10419369</t>
  </si>
  <si>
    <t>5HT1B</t>
  </si>
  <si>
    <t>CN1CCN(C2=C(OC(C(NC3=CC=C(N4CCOCC4)C=C3)=O)=CC5=O)C5=C(C)C=C2)CC1</t>
  </si>
  <si>
    <t>[11C]P943</t>
  </si>
  <si>
    <t>CN1CCN(C2=C(C[C@H]3C(N(C4=CC=C(C(C)(C)OC)C=C4)CC3)=O)C=CC=C2)CC1</t>
  </si>
  <si>
    <t>[11C]ITMM</t>
  </si>
  <si>
    <t>mGluR1</t>
  </si>
  <si>
    <t>CC(C)NC1=CC(C2=CSC(N(C)C(C3=CC=C(OC)C=C3)=O)=N2)=NC=N1</t>
  </si>
  <si>
    <t>CNC1=CC(C2=CSC(N(C)C(C3=CC=C(F)C=C3)=O)=N2)=NC=N1</t>
  </si>
  <si>
    <t>[18F]FPEB</t>
  </si>
  <si>
    <t>FC1=CC(C#N)=CC(C#CC2=NC=CC=C2)=C1</t>
  </si>
  <si>
    <t>[18F]PSS232</t>
  </si>
  <si>
    <t>FCCOCCCO/N=C1CCCC(C#CC2=NC=CC=C2)=C\1</t>
  </si>
  <si>
    <t>[11C]NOP-1A</t>
  </si>
  <si>
    <t>NOP</t>
  </si>
  <si>
    <t>FC1=CC=CC=C1C[C@@H](CN2CCC3(OCCC4=C3SC(F)=C4)CC2)C(NC)=O</t>
  </si>
  <si>
    <t>[11C]MeNTI</t>
  </si>
  <si>
    <t>Delta opioid receptor</t>
  </si>
  <si>
    <t>O=C(OC)C(CC1)(N(C(CC)=O)C2=CC=CC=C2)CCN1CCC3=CC=CC=C3</t>
  </si>
  <si>
    <t>[18F]FDPN</t>
  </si>
  <si>
    <t>Opioid receptors</t>
  </si>
  <si>
    <t>OC1=C(O2)C([C@]([C@]2([H])[C@]3(OCCF)[C@@H](C(C)(O)C)C4)(CCN5CC6CC6)[C@@]4(CC3)[C@@]5([H])C7)=C7C=C1</t>
  </si>
  <si>
    <t>O=C(OC)N1CCN(C(CC2=CC(Cl)=C(Cl)C=C2)=O)[C@]([H])(N3CCCC3)C1</t>
  </si>
  <si>
    <t>[11C]LY2795050</t>
  </si>
  <si>
    <t>ClC(C=C(C(N)=O)C=C1)=C1OC(C=C2)=CC=C2CN3CCC[C@H]3C4=CN=CC=C4</t>
  </si>
  <si>
    <t>[11C]BU99008</t>
  </si>
  <si>
    <t>CN1C2=CC=CC=C2C=C1C3=NCCN3</t>
  </si>
  <si>
    <t>[11C]Flumazenil</t>
  </si>
  <si>
    <t>GABAA</t>
  </si>
  <si>
    <t>[11C]Ro15 4513</t>
  </si>
  <si>
    <t>FC1=CC(C(N(C)CC2=C(C(OCC)=O)N=CN23)=O)=C3C=C1</t>
  </si>
  <si>
    <t>O=C(N(C)CC1=C(C(OCC)=O)N=CN12)C3=C2C=CC(N=[N+]=[N-])=C3</t>
  </si>
  <si>
    <t>[18F]Nifene</t>
  </si>
  <si>
    <t>FC1=C(OC[C@]2([H])C=CCN2)C=CC=N1</t>
  </si>
  <si>
    <t>[18F]XTRA</t>
  </si>
  <si>
    <t>FC1=NC=CC(C2=CN=CC(C3C4CCC(N4C)C3)=C2)=C1</t>
  </si>
  <si>
    <t>[18F]Flubatine</t>
  </si>
  <si>
    <t>FC1=CC=C([C@H]2C[C@@H]3CCC[C@H]2N3)C=N1</t>
  </si>
  <si>
    <t>[123I]51A</t>
  </si>
  <si>
    <t>IC1=CC(OC[C@@H]2CCN2)=CN=C1</t>
  </si>
  <si>
    <t>FC1=CC=CC(C2=CN=CC(C3C4CCC(N4C)C3)=C2)=N1</t>
  </si>
  <si>
    <t>[18F]AZAN</t>
  </si>
  <si>
    <t>[18F]ASEM</t>
  </si>
  <si>
    <t>O=S1(C2=CC=C(N3C4CCN(CC4)CC3)C=C2C5=C1C(F)=CC=C5)=O</t>
  </si>
  <si>
    <t>[11C]CHIBA-1001</t>
  </si>
  <si>
    <t>O=C(OC1=CC=C(C)C=C1)N2C3CCN(CC3)CC2</t>
  </si>
  <si>
    <t>[18F]GE-179</t>
  </si>
  <si>
    <t>CSC1=CC=CC(N(C)C(NC2=CC(SCCF)=CC=C2Cl)=N)=C1</t>
  </si>
  <si>
    <t>[123I]CNS1261</t>
  </si>
  <si>
    <t>N=C(N(C)C1=CC=CC(I)=C1)NC2=C(C=CC=C3)C3=CC=C2</t>
  </si>
  <si>
    <t xml:space="preserve">[11C]JNJ54173717 </t>
  </si>
  <si>
    <t>P2X7</t>
  </si>
  <si>
    <t>O=C(C1=C(Cl)C(Cl)=CC=C1)N2[C@@H](C)CN3C(C4=CC(OC)=CC=N4)=NN=C3C2</t>
  </si>
  <si>
    <t xml:space="preserve">[11C]GSK-1482160 </t>
  </si>
  <si>
    <t>O=C1CC[C@@H](C(NCC2=C(Cl)C(C(F)(F)F)=CC=C2)=O)N1C</t>
  </si>
  <si>
    <t xml:space="preserve">[18F]JNJ-64413739 </t>
  </si>
  <si>
    <t>O=C(N1[C@](C)([H])CC(N(C2=NC=CC=N2)N=N3)C3C1)C4=C(F)C(C(F)(F)F)=NC=C4</t>
  </si>
  <si>
    <t>[18F]FP-CIT</t>
  </si>
  <si>
    <t>Dopamine transporter</t>
  </si>
  <si>
    <t>IC1=CC=C([C@@H]2[C@H](C(OC)=O)C3CC[C@H](N3CCCF)C2)C=C1</t>
  </si>
  <si>
    <t>[18F]FE-PE21</t>
  </si>
  <si>
    <t>CC1=CC=C([C@@H]2[C@H](C(OCCF)=O)C3CC[C@H](N3C/C=C/I)C2)C=C1</t>
  </si>
  <si>
    <t>[123I]Altropane</t>
  </si>
  <si>
    <t>FC1=CC=C([C@@H]2[C@H](C(OCC)=O)C3CC[C@H](N3C/C=C/I)C2)C=C1</t>
  </si>
  <si>
    <t>[11C]RO5013853</t>
  </si>
  <si>
    <t>Glycine T1</t>
  </si>
  <si>
    <t>O=C(C1=CC(S(=O)(C)=O)=CC=C1O[C@H](C(F)(F)F)C)N(C2)CC3=C2C=CC(C4CCOCC4)=C3</t>
  </si>
  <si>
    <t>[18F]ADAM</t>
  </si>
  <si>
    <t>FC1=CC(N)=C(SC2=CC=CC=C2CN(C)C)C=C1</t>
  </si>
  <si>
    <t>[18F]FEOBV</t>
  </si>
  <si>
    <t>VAChT</t>
  </si>
  <si>
    <t>FCCOC1=CC=CC(C[C@H]2O)=C1C[C@H]2N(CC3)CCC3C4=CC=CC=C4</t>
  </si>
  <si>
    <t xml:space="preserve">[11C]UCB-J </t>
  </si>
  <si>
    <t>SV2A</t>
  </si>
  <si>
    <t>CC1=CN=CC=C1N2C(C[C@H](C3=CC(F)=C(F)C(F)=C3)C2)=O</t>
  </si>
  <si>
    <t xml:space="preserve">[11C]UCB-A </t>
  </si>
  <si>
    <t>O=C(C[C@H](C1=CC(F)=CC(F)=C1)C2)N2CC3=CN=CN3C</t>
  </si>
  <si>
    <t xml:space="preserve">[18F]UCB-H </t>
  </si>
  <si>
    <t>FC1=CN=CC=C1N2C(C[C@H](C3=CC(F)=C(F)C(F)=C3)C2)=O</t>
  </si>
  <si>
    <t xml:space="preserve">[18F]FBR </t>
  </si>
  <si>
    <t>TSPO</t>
  </si>
  <si>
    <t>O=C(CF)N(CC1=C(OC)C=CC(OC)=C1)C2=CC=CC=C2OC3=CC=CC=C3</t>
  </si>
  <si>
    <t xml:space="preserve">[11C]DAA1106 </t>
  </si>
  <si>
    <t>CC(N(CC1=C(OC)C=CC(OC)=C1)C2=CC=CC=C2OC3=CC=C(F)C=C3)=O</t>
  </si>
  <si>
    <t>[11C]Methylphenidate</t>
  </si>
  <si>
    <t>[H][C@@]1(CCCCN1)[C@H](C(OC)=O)C2=CC=CC=C2</t>
  </si>
  <si>
    <t>GABA</t>
  </si>
  <si>
    <t>CN(C)CCCN1C2=CC=CC=C2CCC3=C1C=C(Cl)C=C3</t>
  </si>
  <si>
    <t>CNCCCN1C2=CC=CC=C2CCC3=C1C=CC=C3</t>
  </si>
  <si>
    <t>ClC1=CC=C2C(C(C3=CC=CC=C3)=NCC(N2C)=O)=C1</t>
  </si>
  <si>
    <t>CNCCC(OC1=CC=CC=C1OC)C2=CC=CC=C2</t>
  </si>
  <si>
    <t>FC(C=C1)=CC=C1[C@H](CCNC2)[C@@H]2COC3=CC(OCO4)=C4C=C3</t>
  </si>
  <si>
    <t>O=C(NCC1N(CC)CCC1)C2=C(OC)C(Br)=CC=C2OC</t>
  </si>
  <si>
    <t>ClC1=C(Cl)C=C([C@@H]2CC[C@H](NC)C3=C2C=CC=C3)C=C1</t>
  </si>
  <si>
    <t>COC1=CC=C(C(N(C)C)C2(O)CCCCC2)C=C1</t>
  </si>
  <si>
    <t>MW (ChemDraw)</t>
  </si>
  <si>
    <t>O=C1C2=C(N=C(C(C3CC3)C4CC4)N2)N(CCC)C(N1C)=O</t>
  </si>
  <si>
    <t>CNS MPO</t>
  </si>
  <si>
    <t>CNS PET MPO</t>
  </si>
  <si>
    <t>BBB score</t>
  </si>
  <si>
    <t>COC1=CC=C(C=C1)CCCN2C(N=C(N3C4=NC(C5=CC=CO5)=N3)N)=C4C=N2</t>
  </si>
  <si>
    <t>NC1=NC2=C(C=NN2CCN3CCN(CC3)C4=CC=C(C=C4)OCCOC)C5=NC(C6=CC=CO6)=NN15</t>
  </si>
  <si>
    <t>NC1=NC2=C(C=NN2CCN3CCN(CC3)C4=CC=C(C=C4)OCCF)C5=NC(C6=CC=CO6)=NN15</t>
  </si>
  <si>
    <t>Lipinskis CNS rule</t>
  </si>
  <si>
    <t>Strongly bound PPB</t>
  </si>
  <si>
    <t>Moderately bound</t>
  </si>
  <si>
    <t>Undefined PPB</t>
  </si>
  <si>
    <t>Extensively bound in PPB</t>
  </si>
  <si>
    <t>Weakly bound</t>
  </si>
  <si>
    <t>No only MW</t>
  </si>
  <si>
    <t>Successful</t>
  </si>
  <si>
    <t>Unsuccessful</t>
  </si>
  <si>
    <t>Classification</t>
  </si>
  <si>
    <t>α4β2 nAchR</t>
  </si>
  <si>
    <r>
      <t>[11C](</t>
    </r>
    <r>
      <rPr>
        <i/>
        <sz val="11"/>
        <color theme="1"/>
        <rFont val="Times New Roman"/>
        <family val="1"/>
      </rPr>
      <t>R</t>
    </r>
    <r>
      <rPr>
        <sz val="11"/>
        <color theme="1"/>
        <rFont val="Times New Roman"/>
        <family val="1"/>
      </rPr>
      <t>)-RWAY</t>
    </r>
  </si>
  <si>
    <t>[11C]DWAY</t>
  </si>
  <si>
    <r>
      <t>[11C](</t>
    </r>
    <r>
      <rPr>
        <i/>
        <sz val="11"/>
        <color theme="1"/>
        <rFont val="Times New Roman"/>
        <family val="1"/>
      </rPr>
      <t>R</t>
    </r>
    <r>
      <rPr>
        <sz val="11"/>
        <color theme="1"/>
        <rFont val="Times New Roman"/>
        <family val="1"/>
      </rPr>
      <t>)-Rolipram</t>
    </r>
  </si>
  <si>
    <r>
      <t>[</t>
    </r>
    <r>
      <rPr>
        <vertAlign val="superscript"/>
        <sz val="11"/>
        <color theme="1"/>
        <rFont val="Times New Roman"/>
        <family val="1"/>
      </rPr>
      <t>11</t>
    </r>
    <r>
      <rPr>
        <sz val="11"/>
        <color theme="1"/>
        <rFont val="Times New Roman"/>
        <family val="1"/>
      </rPr>
      <t>C]Clomipramine</t>
    </r>
  </si>
  <si>
    <r>
      <t>[</t>
    </r>
    <r>
      <rPr>
        <vertAlign val="superscript"/>
        <sz val="11"/>
        <color theme="1"/>
        <rFont val="Times New Roman"/>
        <family val="1"/>
      </rPr>
      <t>11</t>
    </r>
    <r>
      <rPr>
        <sz val="11"/>
        <color theme="1"/>
        <rFont val="Times New Roman"/>
        <family val="1"/>
      </rPr>
      <t>C]Desipramine</t>
    </r>
  </si>
  <si>
    <r>
      <t>[</t>
    </r>
    <r>
      <rPr>
        <vertAlign val="superscript"/>
        <sz val="11"/>
        <color theme="1"/>
        <rFont val="Times New Roman"/>
        <family val="1"/>
      </rPr>
      <t>11</t>
    </r>
    <r>
      <rPr>
        <sz val="11"/>
        <color theme="1"/>
        <rFont val="Times New Roman"/>
        <family val="1"/>
      </rPr>
      <t>C]Diazepam</t>
    </r>
  </si>
  <si>
    <r>
      <t>[</t>
    </r>
    <r>
      <rPr>
        <vertAlign val="superscript"/>
        <sz val="11"/>
        <color theme="1"/>
        <rFont val="Times New Roman"/>
        <family val="1"/>
      </rPr>
      <t>11</t>
    </r>
    <r>
      <rPr>
        <sz val="11"/>
        <color theme="1"/>
        <rFont val="Times New Roman"/>
        <family val="1"/>
      </rPr>
      <t>C]Nisoxetine</t>
    </r>
  </si>
  <si>
    <r>
      <t>[</t>
    </r>
    <r>
      <rPr>
        <vertAlign val="superscript"/>
        <sz val="11"/>
        <color theme="1"/>
        <rFont val="Times New Roman"/>
        <family val="1"/>
      </rPr>
      <t>18</t>
    </r>
    <r>
      <rPr>
        <sz val="11"/>
        <color theme="1"/>
        <rFont val="Times New Roman"/>
        <family val="1"/>
      </rPr>
      <t>F]Paroxetine</t>
    </r>
  </si>
  <si>
    <r>
      <t>[</t>
    </r>
    <r>
      <rPr>
        <vertAlign val="superscript"/>
        <sz val="11"/>
        <color theme="1"/>
        <rFont val="Times New Roman"/>
        <family val="1"/>
      </rPr>
      <t>11</t>
    </r>
    <r>
      <rPr>
        <sz val="11"/>
        <color theme="1"/>
        <rFont val="Times New Roman"/>
        <family val="1"/>
      </rPr>
      <t>C]Remoxipride</t>
    </r>
  </si>
  <si>
    <r>
      <t>[</t>
    </r>
    <r>
      <rPr>
        <vertAlign val="superscript"/>
        <sz val="11"/>
        <color theme="1"/>
        <rFont val="Times New Roman"/>
        <family val="1"/>
      </rPr>
      <t>11</t>
    </r>
    <r>
      <rPr>
        <sz val="11"/>
        <color theme="1"/>
        <rFont val="Times New Roman"/>
        <family val="1"/>
      </rPr>
      <t>C]Sertraline</t>
    </r>
  </si>
  <si>
    <r>
      <t>[</t>
    </r>
    <r>
      <rPr>
        <vertAlign val="superscript"/>
        <sz val="11"/>
        <color theme="1"/>
        <rFont val="Times New Roman"/>
        <family val="1"/>
      </rPr>
      <t>11</t>
    </r>
    <r>
      <rPr>
        <sz val="11"/>
        <color theme="1"/>
        <rFont val="Times New Roman"/>
        <family val="1"/>
      </rPr>
      <t>C]Venlafaxine</t>
    </r>
  </si>
  <si>
    <t>HBDs (ACD/Perecpta)</t>
  </si>
  <si>
    <t>HBAs (ACD/Percepta)</t>
  </si>
  <si>
    <t>TPSA (ACD/Percepta)</t>
  </si>
  <si>
    <t>LogD (ACD/Percepta)</t>
  </si>
  <si>
    <t>Basic pKa (ACD/Percepta)</t>
  </si>
  <si>
    <t>LogP (BioLoom)</t>
  </si>
  <si>
    <r>
      <t>(N+O)</t>
    </r>
    <r>
      <rPr>
        <b/>
        <sz val="11"/>
        <color theme="1"/>
        <rFont val="Calibri"/>
        <family val="2"/>
      </rPr>
      <t>≤</t>
    </r>
    <r>
      <rPr>
        <b/>
        <sz val="11"/>
        <color theme="1"/>
        <rFont val="Times New Roman"/>
        <family val="1"/>
      </rPr>
      <t>5</t>
    </r>
  </si>
  <si>
    <r>
      <t>logBB</t>
    </r>
    <r>
      <rPr>
        <b/>
        <sz val="11"/>
        <color theme="1"/>
        <rFont val="Calibri"/>
        <family val="2"/>
      </rPr>
      <t>&gt;</t>
    </r>
    <r>
      <rPr>
        <b/>
        <sz val="11"/>
        <color theme="1"/>
        <rFont val="Times New Roman"/>
        <family val="1"/>
      </rPr>
      <t>0 (Norinder Haeberlin)</t>
    </r>
  </si>
  <si>
    <t>CNS access score (ACD/Percepta)</t>
  </si>
  <si>
    <t>logBB (ACD/Percepta)</t>
  </si>
  <si>
    <t>PPB (ACD/Percepta)</t>
  </si>
  <si>
    <t> α7 nAChR</t>
  </si>
  <si>
    <t>α5GABAA</t>
  </si>
  <si>
    <t>A2aR</t>
  </si>
  <si>
    <t>H1</t>
  </si>
  <si>
    <t>Imidazoline receptors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</si>
</sst>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rgb="FF000000"/>
      <name val="Times New Roman"/>
      <family val="1"/>
    </font>
    <font>
      <b/>
      <sz val="11"/>
      <color theme="1"/>
      <name val="Times New Roman"/>
      <family val="1"/>
    </font>
    <font>
      <sz val="11"/>
      <color rgb="FF293340"/>
      <name val="Times New Roman"/>
      <family val="1"/>
    </font>
    <font>
      <sz val="11"/>
      <color theme="1"/>
      <name val="Times New Roman"/>
      <family val="1"/>
    </font>
    <font>
      <i/>
      <sz val="11"/>
      <color theme="1"/>
      <name val="Times New Roman"/>
      <family val="1"/>
    </font>
    <font>
      <vertAlign val="superscript"/>
      <sz val="11"/>
      <color theme="1"/>
      <name val="Times New Roman"/>
      <family val="1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V131"/>
  <sheetViews>
    <sheetView tabSelected="1" zoomScale="125" workbookViewId="0"/>
  </sheetViews>
  <sheetFormatPr baseColWidth="10" defaultColWidth="8.83203125" defaultRowHeight="15" x14ac:dyDescent="0.2"/>
  <cols>
    <col min="1" max="1" width="21" customWidth="1"/>
    <col min="2" max="2" width="110.6640625" customWidth="1"/>
    <col min="3" max="3" width="17.5" customWidth="1"/>
    <col min="4" max="4" width="19.5" style="5" customWidth="1"/>
    <col min="5" max="5" width="17" customWidth="1"/>
    <col min="6" max="6" width="8" customWidth="1"/>
    <col min="7" max="8" width="6.83203125" customWidth="1"/>
    <col min="9" max="9" width="7.1640625" customWidth="1"/>
    <col min="10" max="10" width="12.33203125" customWidth="1"/>
    <col min="12" max="12" width="11.5" customWidth="1"/>
    <col min="13" max="13" width="13.5" customWidth="1"/>
    <col min="14" max="14" width="11.33203125" customWidth="1"/>
    <col min="16" max="16" width="10.6640625" customWidth="1"/>
    <col min="17" max="17" width="11.6640625" customWidth="1"/>
    <col min="18" max="18" width="16.6640625" customWidth="1"/>
    <col min="19" max="19" width="14.1640625" customWidth="1"/>
    <col min="20" max="20" width="23.5" customWidth="1"/>
    <col min="21" max="21" width="14.1640625" customWidth="1"/>
    <col min="22" max="22" width="12.6640625" customWidth="1"/>
  </cols>
  <sheetData>
    <row r="1" spans="1:22" ht="15" customHeight="1" x14ac:dyDescent="0.2">
      <c r="A1" s="3" t="s">
        <v>0</v>
      </c>
      <c r="B1" s="3" t="s">
        <v>1</v>
      </c>
      <c r="C1" s="3" t="s">
        <v>315</v>
      </c>
      <c r="D1" s="3" t="s">
        <v>2</v>
      </c>
      <c r="E1" s="3" t="s">
        <v>298</v>
      </c>
      <c r="F1" s="3" t="s">
        <v>328</v>
      </c>
      <c r="G1" s="3" t="s">
        <v>329</v>
      </c>
      <c r="H1" s="3" t="s">
        <v>330</v>
      </c>
      <c r="I1" s="3" t="s">
        <v>331</v>
      </c>
      <c r="J1" s="3" t="s">
        <v>332</v>
      </c>
      <c r="K1" s="3" t="s">
        <v>333</v>
      </c>
      <c r="L1" s="3" t="s">
        <v>300</v>
      </c>
      <c r="M1" s="3" t="s">
        <v>301</v>
      </c>
      <c r="N1" s="3" t="s">
        <v>302</v>
      </c>
      <c r="O1" s="3" t="s">
        <v>334</v>
      </c>
      <c r="P1" s="3" t="s">
        <v>335</v>
      </c>
      <c r="Q1" s="3" t="s">
        <v>306</v>
      </c>
      <c r="R1" s="3" t="s">
        <v>336</v>
      </c>
      <c r="S1" s="3" t="s">
        <v>337</v>
      </c>
      <c r="T1" s="3" t="s">
        <v>338</v>
      </c>
      <c r="U1" s="1"/>
      <c r="V1" s="1"/>
    </row>
    <row r="2" spans="1:22" ht="15.75" customHeight="1" x14ac:dyDescent="0.2">
      <c r="A2" s="5" t="s">
        <v>245</v>
      </c>
      <c r="B2" s="5" t="s">
        <v>246</v>
      </c>
      <c r="C2" s="5" t="s">
        <v>313</v>
      </c>
      <c r="D2" s="2" t="s">
        <v>339</v>
      </c>
      <c r="E2" s="5">
        <v>358.43140316574994</v>
      </c>
      <c r="F2" s="5">
        <v>0</v>
      </c>
      <c r="G2" s="5">
        <v>4</v>
      </c>
      <c r="H2" s="5">
        <v>49</v>
      </c>
      <c r="I2" s="5">
        <v>1</v>
      </c>
      <c r="J2" s="5">
        <v>1.65</v>
      </c>
      <c r="K2" s="5">
        <v>2.96</v>
      </c>
      <c r="L2" s="5">
        <v>5.7078429841712506</v>
      </c>
      <c r="M2" s="5">
        <v>4</v>
      </c>
      <c r="N2" s="5">
        <v>5.2164609999999998</v>
      </c>
      <c r="O2" s="5">
        <v>4</v>
      </c>
      <c r="P2" s="5">
        <f>K2-O2</f>
        <v>-1.04</v>
      </c>
      <c r="Q2" s="5" t="s">
        <v>5</v>
      </c>
      <c r="R2" s="5">
        <v>-2.2200000000000002</v>
      </c>
      <c r="S2" s="5">
        <v>-7.0000000000000007E-2</v>
      </c>
      <c r="T2" s="5" t="s">
        <v>307</v>
      </c>
    </row>
    <row r="3" spans="1:22" ht="15.75" customHeight="1" x14ac:dyDescent="0.2">
      <c r="A3" s="5" t="s">
        <v>247</v>
      </c>
      <c r="B3" s="5" t="s">
        <v>248</v>
      </c>
      <c r="C3" s="5" t="s">
        <v>313</v>
      </c>
      <c r="D3" s="2" t="s">
        <v>339</v>
      </c>
      <c r="E3" s="5">
        <v>260.33700000194995</v>
      </c>
      <c r="F3" s="5">
        <v>0</v>
      </c>
      <c r="G3" s="5">
        <v>4</v>
      </c>
      <c r="H3" s="5">
        <v>32.78</v>
      </c>
      <c r="I3" s="5">
        <v>0.95</v>
      </c>
      <c r="J3" s="5">
        <v>8.99</v>
      </c>
      <c r="K3" s="5">
        <v>1.986</v>
      </c>
      <c r="L3" s="5">
        <v>5.1440000000000001</v>
      </c>
      <c r="M3" s="5">
        <v>3.2937500000000002</v>
      </c>
      <c r="N3" s="5">
        <v>5.3966710000000004</v>
      </c>
      <c r="O3" s="5">
        <v>4</v>
      </c>
      <c r="P3" s="5">
        <f t="shared" ref="P3:P66" si="0">K3-O3</f>
        <v>-2.0140000000000002</v>
      </c>
      <c r="Q3" s="5" t="s">
        <v>5</v>
      </c>
      <c r="R3" s="5">
        <v>-2.14</v>
      </c>
      <c r="S3" s="5">
        <v>0.53</v>
      </c>
      <c r="T3" s="5" t="s">
        <v>308</v>
      </c>
    </row>
    <row r="4" spans="1:22" ht="15" customHeight="1" x14ac:dyDescent="0.2">
      <c r="A4" s="5" t="s">
        <v>232</v>
      </c>
      <c r="B4" s="5" t="s">
        <v>234</v>
      </c>
      <c r="C4" s="5" t="s">
        <v>313</v>
      </c>
      <c r="D4" s="4" t="s">
        <v>340</v>
      </c>
      <c r="E4" s="5">
        <v>326.31600000189997</v>
      </c>
      <c r="F4" s="5">
        <v>0</v>
      </c>
      <c r="G4" s="5">
        <v>9</v>
      </c>
      <c r="H4" s="5">
        <v>114.18</v>
      </c>
      <c r="I4" s="5">
        <v>1.6</v>
      </c>
      <c r="J4" s="5">
        <v>0.81</v>
      </c>
      <c r="K4" s="5">
        <v>2.004</v>
      </c>
      <c r="L4" s="5">
        <v>5.0662259999905004</v>
      </c>
      <c r="M4" s="5">
        <v>3.4418900799579726</v>
      </c>
      <c r="N4" s="5">
        <v>2.6953239999999998</v>
      </c>
      <c r="O4" s="5">
        <v>9</v>
      </c>
      <c r="P4" s="5">
        <f t="shared" si="0"/>
        <v>-6.9960000000000004</v>
      </c>
      <c r="Q4" s="5" t="s">
        <v>147</v>
      </c>
      <c r="R4" s="5">
        <v>-2.84</v>
      </c>
      <c r="S4" s="5">
        <v>-0.37</v>
      </c>
      <c r="T4" s="5" t="s">
        <v>309</v>
      </c>
    </row>
    <row r="5" spans="1:22" ht="15" customHeight="1" x14ac:dyDescent="0.2">
      <c r="A5" s="5" t="s">
        <v>167</v>
      </c>
      <c r="B5" s="5" t="s">
        <v>169</v>
      </c>
      <c r="C5" s="5" t="s">
        <v>314</v>
      </c>
      <c r="D5" s="5" t="s">
        <v>168</v>
      </c>
      <c r="E5" s="5">
        <v>324.39940316579998</v>
      </c>
      <c r="F5" s="5">
        <v>0</v>
      </c>
      <c r="G5" s="5">
        <v>3</v>
      </c>
      <c r="H5" s="5">
        <v>32.26</v>
      </c>
      <c r="I5" s="5">
        <v>1.27</v>
      </c>
      <c r="J5" s="5">
        <v>9.57</v>
      </c>
      <c r="K5" s="5">
        <v>3.1320000000000001</v>
      </c>
      <c r="L5" s="5">
        <v>4.6400029841709998</v>
      </c>
      <c r="M5" s="5">
        <v>3.4842852019725044</v>
      </c>
      <c r="N5" s="5">
        <v>5.4538510000000002</v>
      </c>
      <c r="O5" s="5">
        <v>3</v>
      </c>
      <c r="P5" s="5">
        <f t="shared" si="0"/>
        <v>0.13200000000000012</v>
      </c>
      <c r="Q5" s="5" t="s">
        <v>5</v>
      </c>
      <c r="R5" s="5">
        <v>-2.19</v>
      </c>
      <c r="S5" s="5">
        <v>0.6</v>
      </c>
      <c r="T5" s="5" t="s">
        <v>308</v>
      </c>
    </row>
    <row r="6" spans="1:22" ht="15" customHeight="1" x14ac:dyDescent="0.2">
      <c r="A6" s="5" t="s">
        <v>30</v>
      </c>
      <c r="B6" s="5" t="s">
        <v>31</v>
      </c>
      <c r="C6" s="5" t="s">
        <v>313</v>
      </c>
      <c r="D6" s="5" t="s">
        <v>32</v>
      </c>
      <c r="E6" s="5">
        <v>422.57300000324994</v>
      </c>
      <c r="F6" s="5">
        <v>0</v>
      </c>
      <c r="G6" s="5">
        <v>6</v>
      </c>
      <c r="H6" s="5">
        <v>48.91</v>
      </c>
      <c r="I6" s="5">
        <v>3.07</v>
      </c>
      <c r="J6" s="5">
        <v>6.84</v>
      </c>
      <c r="K6" s="5">
        <v>3.89</v>
      </c>
      <c r="L6" s="5">
        <v>4.4071349999837501</v>
      </c>
      <c r="M6" s="5">
        <v>4</v>
      </c>
      <c r="N6" s="5">
        <v>4.8462930000000002</v>
      </c>
      <c r="O6" s="5">
        <v>6</v>
      </c>
      <c r="P6" s="5">
        <f t="shared" si="0"/>
        <v>-2.11</v>
      </c>
      <c r="Q6" s="5" t="s">
        <v>147</v>
      </c>
      <c r="R6" s="5">
        <v>-2.54</v>
      </c>
      <c r="S6" s="5">
        <v>-0.03</v>
      </c>
      <c r="T6" s="5" t="s">
        <v>310</v>
      </c>
    </row>
    <row r="7" spans="1:22" ht="15" customHeight="1" x14ac:dyDescent="0.2">
      <c r="A7" s="5" t="s">
        <v>45</v>
      </c>
      <c r="B7" s="5" t="s">
        <v>46</v>
      </c>
      <c r="C7" s="5" t="s">
        <v>313</v>
      </c>
      <c r="D7" s="5" t="s">
        <v>32</v>
      </c>
      <c r="E7" s="5">
        <v>434.51540316649994</v>
      </c>
      <c r="F7" s="5">
        <v>0</v>
      </c>
      <c r="G7" s="5">
        <v>6</v>
      </c>
      <c r="H7" s="5">
        <v>48.91</v>
      </c>
      <c r="I7" s="5">
        <v>3.47</v>
      </c>
      <c r="J7" s="5">
        <v>6.68</v>
      </c>
      <c r="K7" s="5">
        <v>3.294</v>
      </c>
      <c r="L7" s="5">
        <v>4.4454229841675001</v>
      </c>
      <c r="M7" s="5">
        <v>4</v>
      </c>
      <c r="N7" s="5">
        <v>4.3958620000000002</v>
      </c>
      <c r="O7" s="5">
        <v>6</v>
      </c>
      <c r="P7" s="5">
        <f t="shared" si="0"/>
        <v>-2.706</v>
      </c>
      <c r="Q7" s="5" t="s">
        <v>147</v>
      </c>
      <c r="R7" s="5">
        <v>-3.63</v>
      </c>
      <c r="S7" s="5">
        <v>0.01</v>
      </c>
      <c r="T7" s="5" t="s">
        <v>310</v>
      </c>
    </row>
    <row r="8" spans="1:22" ht="15" customHeight="1" x14ac:dyDescent="0.2">
      <c r="A8" s="5" t="s">
        <v>317</v>
      </c>
      <c r="B8" s="5" t="s">
        <v>79</v>
      </c>
      <c r="C8" s="5" t="s">
        <v>313</v>
      </c>
      <c r="D8" s="5" t="s">
        <v>32</v>
      </c>
      <c r="E8" s="5">
        <v>435.61200000344996</v>
      </c>
      <c r="F8" s="5">
        <v>0</v>
      </c>
      <c r="G8" s="5">
        <v>5</v>
      </c>
      <c r="H8" s="5">
        <v>36.020000000000003</v>
      </c>
      <c r="I8" s="5">
        <v>4.12</v>
      </c>
      <c r="J8" s="5">
        <v>7.54</v>
      </c>
      <c r="K8" s="5">
        <v>5.0780000000000003</v>
      </c>
      <c r="L8" s="5">
        <v>3.1229399999827501</v>
      </c>
      <c r="M8" s="5">
        <v>2.1837</v>
      </c>
      <c r="N8" s="5">
        <v>5.2038979999999997</v>
      </c>
      <c r="O8" s="5">
        <v>5</v>
      </c>
      <c r="P8" s="5">
        <f t="shared" si="0"/>
        <v>7.8000000000000291E-2</v>
      </c>
      <c r="Q8" s="5" t="s">
        <v>147</v>
      </c>
      <c r="R8" s="5">
        <v>-2.99</v>
      </c>
      <c r="S8" s="5">
        <v>1.04</v>
      </c>
      <c r="T8" s="5" t="s">
        <v>307</v>
      </c>
    </row>
    <row r="9" spans="1:22" ht="15" customHeight="1" x14ac:dyDescent="0.2">
      <c r="A9" s="5" t="s">
        <v>318</v>
      </c>
      <c r="B9" s="5" t="s">
        <v>80</v>
      </c>
      <c r="C9" s="5" t="s">
        <v>313</v>
      </c>
      <c r="D9" s="5" t="s">
        <v>32</v>
      </c>
      <c r="E9" s="5">
        <v>408.54600000309995</v>
      </c>
      <c r="F9" s="5">
        <v>1</v>
      </c>
      <c r="G9" s="5">
        <v>6</v>
      </c>
      <c r="H9" s="5">
        <v>59.91</v>
      </c>
      <c r="I9" s="5">
        <v>2.52</v>
      </c>
      <c r="J9" s="5">
        <v>7.01</v>
      </c>
      <c r="K9" s="5">
        <v>3.2010000000000001</v>
      </c>
      <c r="L9" s="5">
        <v>4.8467699999845006</v>
      </c>
      <c r="M9" s="5">
        <v>4.3293200000000001</v>
      </c>
      <c r="N9" s="5">
        <v>4.5837450000000004</v>
      </c>
      <c r="O9" s="5">
        <v>6</v>
      </c>
      <c r="P9" s="5">
        <f t="shared" si="0"/>
        <v>-2.7989999999999999</v>
      </c>
      <c r="Q9" s="5" t="s">
        <v>147</v>
      </c>
      <c r="R9" s="5">
        <v>-2.65</v>
      </c>
      <c r="S9" s="5">
        <v>-0.12</v>
      </c>
      <c r="T9" s="5" t="s">
        <v>310</v>
      </c>
    </row>
    <row r="10" spans="1:22" ht="15" customHeight="1" x14ac:dyDescent="0.2">
      <c r="A10" s="5" t="s">
        <v>81</v>
      </c>
      <c r="B10" s="5" t="s">
        <v>82</v>
      </c>
      <c r="C10" s="5" t="s">
        <v>313</v>
      </c>
      <c r="D10" s="5" t="s">
        <v>32</v>
      </c>
      <c r="E10" s="5">
        <v>440.56340316679996</v>
      </c>
      <c r="F10" s="5">
        <v>0</v>
      </c>
      <c r="G10" s="5">
        <v>6</v>
      </c>
      <c r="H10" s="5">
        <v>48.91</v>
      </c>
      <c r="I10" s="5">
        <v>2.48</v>
      </c>
      <c r="J10" s="5">
        <v>6.82</v>
      </c>
      <c r="K10" s="5">
        <v>3.2829999999999999</v>
      </c>
      <c r="L10" s="5">
        <v>4.9156829841660006</v>
      </c>
      <c r="M10" s="5">
        <v>4.3656800000000002</v>
      </c>
      <c r="N10" s="5">
        <v>4.812773</v>
      </c>
      <c r="O10" s="5">
        <v>6</v>
      </c>
      <c r="P10" s="5">
        <f t="shared" si="0"/>
        <v>-2.7170000000000001</v>
      </c>
      <c r="Q10" s="5" t="s">
        <v>147</v>
      </c>
      <c r="R10" s="5">
        <v>-2.64</v>
      </c>
      <c r="S10" s="5">
        <v>-0.28000000000000003</v>
      </c>
      <c r="T10" s="5" t="s">
        <v>310</v>
      </c>
    </row>
    <row r="11" spans="1:22" ht="15" customHeight="1" x14ac:dyDescent="0.2">
      <c r="A11" s="5" t="s">
        <v>129</v>
      </c>
      <c r="B11" s="5" t="s">
        <v>130</v>
      </c>
      <c r="C11" s="5" t="s">
        <v>313</v>
      </c>
      <c r="D11" s="5" t="s">
        <v>32</v>
      </c>
      <c r="E11" s="5">
        <v>318.39240316584994</v>
      </c>
      <c r="F11" s="5">
        <v>2</v>
      </c>
      <c r="G11" s="5">
        <v>4</v>
      </c>
      <c r="H11" s="5">
        <v>55.56</v>
      </c>
      <c r="I11" s="5">
        <v>0.74</v>
      </c>
      <c r="J11" s="5">
        <v>9.24</v>
      </c>
      <c r="K11" s="5">
        <v>2.996</v>
      </c>
      <c r="L11" s="5">
        <v>4.7880379841707503</v>
      </c>
      <c r="M11" s="5">
        <v>2.7277600419713988</v>
      </c>
      <c r="N11" s="5">
        <v>4.2505569999999997</v>
      </c>
      <c r="O11" s="5">
        <v>4</v>
      </c>
      <c r="P11" s="5">
        <f t="shared" si="0"/>
        <v>-1.004</v>
      </c>
      <c r="Q11" s="5" t="s">
        <v>5</v>
      </c>
      <c r="R11" s="5">
        <v>-2.48</v>
      </c>
      <c r="S11" s="5">
        <v>0.11</v>
      </c>
      <c r="T11" s="5" t="s">
        <v>308</v>
      </c>
    </row>
    <row r="12" spans="1:22" ht="15" customHeight="1" x14ac:dyDescent="0.2">
      <c r="A12" s="5" t="s">
        <v>174</v>
      </c>
      <c r="B12" s="5" t="s">
        <v>175</v>
      </c>
      <c r="C12" s="5" t="s">
        <v>314</v>
      </c>
      <c r="D12" s="5" t="s">
        <v>32</v>
      </c>
      <c r="E12" s="5">
        <v>426.53640316664996</v>
      </c>
      <c r="F12" s="5">
        <v>1</v>
      </c>
      <c r="G12" s="5">
        <v>6</v>
      </c>
      <c r="H12" s="5">
        <v>59.91</v>
      </c>
      <c r="I12" s="5">
        <v>2.4900000000000002</v>
      </c>
      <c r="J12" s="5">
        <v>7.01</v>
      </c>
      <c r="K12" s="5">
        <v>3.4279999999999999</v>
      </c>
      <c r="L12" s="5">
        <v>4.6583179841667501</v>
      </c>
      <c r="M12" s="5">
        <v>4.3565899999999997</v>
      </c>
      <c r="N12" s="5">
        <v>4.5480939999999999</v>
      </c>
      <c r="O12" s="5">
        <v>6</v>
      </c>
      <c r="P12" s="5">
        <f t="shared" si="0"/>
        <v>-2.5720000000000001</v>
      </c>
      <c r="Q12" s="5" t="s">
        <v>147</v>
      </c>
      <c r="R12" s="5">
        <v>-2.75</v>
      </c>
      <c r="S12" s="5">
        <v>-0.22</v>
      </c>
      <c r="T12" s="5" t="s">
        <v>310</v>
      </c>
    </row>
    <row r="13" spans="1:22" ht="15" customHeight="1" x14ac:dyDescent="0.2">
      <c r="A13" s="5" t="s">
        <v>200</v>
      </c>
      <c r="B13" s="5" t="s">
        <v>199</v>
      </c>
      <c r="C13" s="5" t="s">
        <v>313</v>
      </c>
      <c r="D13" s="5" t="s">
        <v>32</v>
      </c>
      <c r="E13" s="5">
        <v>454.59040316694995</v>
      </c>
      <c r="F13" s="5">
        <v>0</v>
      </c>
      <c r="G13" s="5">
        <v>6</v>
      </c>
      <c r="H13" s="5">
        <v>48.91</v>
      </c>
      <c r="I13" s="5">
        <v>3.01</v>
      </c>
      <c r="J13" s="5">
        <v>6.82</v>
      </c>
      <c r="K13" s="5">
        <v>3.6819999999999999</v>
      </c>
      <c r="L13" s="5">
        <v>4.3810479841652503</v>
      </c>
      <c r="M13" s="5">
        <v>4</v>
      </c>
      <c r="N13" s="5">
        <v>4.7747380000000001</v>
      </c>
      <c r="O13" s="5">
        <v>6</v>
      </c>
      <c r="P13" s="5">
        <f t="shared" si="0"/>
        <v>-2.3180000000000001</v>
      </c>
      <c r="Q13" s="5" t="s">
        <v>147</v>
      </c>
      <c r="R13" s="5">
        <v>-2.5499999999999998</v>
      </c>
      <c r="S13" s="5">
        <v>-0.06</v>
      </c>
      <c r="T13" s="5" t="s">
        <v>310</v>
      </c>
    </row>
    <row r="14" spans="1:22" ht="15" customHeight="1" x14ac:dyDescent="0.2">
      <c r="A14" s="5" t="s">
        <v>201</v>
      </c>
      <c r="B14" s="5" t="s">
        <v>202</v>
      </c>
      <c r="C14" s="5" t="s">
        <v>313</v>
      </c>
      <c r="D14" s="5" t="s">
        <v>32</v>
      </c>
      <c r="E14" s="5">
        <v>373.45700000269994</v>
      </c>
      <c r="F14" s="5">
        <v>0</v>
      </c>
      <c r="G14" s="5">
        <v>8</v>
      </c>
      <c r="H14" s="5">
        <v>68.69</v>
      </c>
      <c r="I14" s="5">
        <v>0.55000000000000004</v>
      </c>
      <c r="J14" s="5">
        <v>7.91</v>
      </c>
      <c r="K14" s="5">
        <v>1.367</v>
      </c>
      <c r="L14" s="5">
        <v>5.6327149999865007</v>
      </c>
      <c r="M14" s="5">
        <v>3.4572659999999997</v>
      </c>
      <c r="N14" s="5">
        <v>4.259074</v>
      </c>
      <c r="O14" s="5">
        <v>8</v>
      </c>
      <c r="P14" s="5">
        <f t="shared" si="0"/>
        <v>-6.633</v>
      </c>
      <c r="Q14" s="5" t="s">
        <v>147</v>
      </c>
      <c r="R14" s="5">
        <v>-3.42</v>
      </c>
      <c r="S14" s="5">
        <v>-0.51</v>
      </c>
      <c r="T14" s="5" t="s">
        <v>307</v>
      </c>
    </row>
    <row r="15" spans="1:22" ht="15" customHeight="1" x14ac:dyDescent="0.2">
      <c r="A15" s="5" t="s">
        <v>203</v>
      </c>
      <c r="B15" s="5" t="s">
        <v>205</v>
      </c>
      <c r="C15" s="5" t="s">
        <v>313</v>
      </c>
      <c r="D15" s="5" t="s">
        <v>204</v>
      </c>
      <c r="E15" s="5">
        <v>462.55000000319995</v>
      </c>
      <c r="F15" s="5">
        <v>1</v>
      </c>
      <c r="G15" s="5">
        <v>8</v>
      </c>
      <c r="H15" s="5">
        <v>74.349999999999994</v>
      </c>
      <c r="I15" s="5">
        <v>1.29</v>
      </c>
      <c r="J15" s="5">
        <v>7.69</v>
      </c>
      <c r="K15" s="5">
        <v>2.8460000000000001</v>
      </c>
      <c r="L15" s="5">
        <v>4.937249999984</v>
      </c>
      <c r="M15" s="5">
        <v>3.30619</v>
      </c>
      <c r="N15" s="5">
        <v>4.0265599999999999</v>
      </c>
      <c r="O15" s="5">
        <v>8</v>
      </c>
      <c r="P15" s="5">
        <f t="shared" si="0"/>
        <v>-5.1539999999999999</v>
      </c>
      <c r="Q15" s="5" t="s">
        <v>147</v>
      </c>
      <c r="R15" s="5">
        <v>-3.38</v>
      </c>
      <c r="S15" s="5">
        <v>-0.45</v>
      </c>
      <c r="T15" s="5" t="s">
        <v>307</v>
      </c>
    </row>
    <row r="16" spans="1:22" ht="15" customHeight="1" x14ac:dyDescent="0.2">
      <c r="A16" s="5" t="s">
        <v>206</v>
      </c>
      <c r="B16" s="5" t="s">
        <v>207</v>
      </c>
      <c r="C16" s="5" t="s">
        <v>313</v>
      </c>
      <c r="D16" s="5" t="s">
        <v>204</v>
      </c>
      <c r="E16" s="5">
        <v>421.58500000329997</v>
      </c>
      <c r="F16" s="5">
        <v>0</v>
      </c>
      <c r="G16" s="5">
        <v>5</v>
      </c>
      <c r="H16" s="5">
        <v>36.020000000000003</v>
      </c>
      <c r="I16" s="5">
        <v>3.54</v>
      </c>
      <c r="J16" s="5">
        <v>7.82</v>
      </c>
      <c r="K16" s="5">
        <v>4.3949999999999996</v>
      </c>
      <c r="L16" s="5">
        <v>3.7255749999835004</v>
      </c>
      <c r="M16" s="5">
        <v>3.0619000000000001</v>
      </c>
      <c r="N16" s="5">
        <v>5.2807089999999999</v>
      </c>
      <c r="O16" s="5">
        <v>5</v>
      </c>
      <c r="P16" s="5">
        <f t="shared" si="0"/>
        <v>-0.60500000000000043</v>
      </c>
      <c r="Q16" s="5" t="s">
        <v>147</v>
      </c>
      <c r="R16" s="5">
        <v>-2.39</v>
      </c>
      <c r="S16" s="5">
        <v>0.47</v>
      </c>
      <c r="T16" s="5" t="s">
        <v>310</v>
      </c>
    </row>
    <row r="17" spans="1:20" ht="15" customHeight="1" x14ac:dyDescent="0.2">
      <c r="A17" s="5" t="s">
        <v>47</v>
      </c>
      <c r="B17" s="5" t="s">
        <v>49</v>
      </c>
      <c r="C17" s="5" t="s">
        <v>313</v>
      </c>
      <c r="D17" s="5" t="s">
        <v>48</v>
      </c>
      <c r="E17" s="5">
        <v>411.4954031661</v>
      </c>
      <c r="F17" s="5">
        <v>1</v>
      </c>
      <c r="G17" s="5">
        <v>5</v>
      </c>
      <c r="H17" s="5">
        <v>84.74</v>
      </c>
      <c r="I17" s="5">
        <v>2.5099999999999998</v>
      </c>
      <c r="J17" s="5">
        <v>7.8</v>
      </c>
      <c r="K17" s="5">
        <v>2.5790000000000002</v>
      </c>
      <c r="L17" s="5">
        <v>4.9375229841695001</v>
      </c>
      <c r="M17" s="5">
        <v>2.1437460000000002</v>
      </c>
      <c r="N17" s="5">
        <v>4.367737</v>
      </c>
      <c r="O17" s="5">
        <v>5</v>
      </c>
      <c r="P17" s="5">
        <f t="shared" si="0"/>
        <v>-2.4209999999999998</v>
      </c>
      <c r="Q17" s="5" t="s">
        <v>147</v>
      </c>
      <c r="R17" s="5">
        <v>-2.95</v>
      </c>
      <c r="S17" s="5">
        <v>-0.26</v>
      </c>
      <c r="T17" s="5" t="s">
        <v>310</v>
      </c>
    </row>
    <row r="18" spans="1:20" ht="15" customHeight="1" x14ac:dyDescent="0.2">
      <c r="A18" s="5" t="s">
        <v>98</v>
      </c>
      <c r="B18" s="5" t="s">
        <v>99</v>
      </c>
      <c r="C18" s="5" t="s">
        <v>313</v>
      </c>
      <c r="D18" s="5" t="s">
        <v>48</v>
      </c>
      <c r="E18" s="5">
        <v>373.46840316629994</v>
      </c>
      <c r="F18" s="5">
        <v>1</v>
      </c>
      <c r="G18" s="5">
        <v>4</v>
      </c>
      <c r="H18" s="5">
        <v>41.93</v>
      </c>
      <c r="I18" s="5">
        <v>1.94</v>
      </c>
      <c r="J18" s="5">
        <v>8.8800000000000008</v>
      </c>
      <c r="K18" s="5">
        <v>3.2890000000000001</v>
      </c>
      <c r="L18" s="5">
        <v>4.7981579841684994</v>
      </c>
      <c r="M18" s="5">
        <v>3.9301399999999993</v>
      </c>
      <c r="N18" s="5">
        <v>5.2913600000000001</v>
      </c>
      <c r="O18" s="5">
        <v>4</v>
      </c>
      <c r="P18" s="5">
        <f t="shared" si="0"/>
        <v>-0.71099999999999985</v>
      </c>
      <c r="Q18" s="5" t="s">
        <v>5</v>
      </c>
      <c r="R18" s="5">
        <v>-2.15</v>
      </c>
      <c r="S18" s="5">
        <v>0.84</v>
      </c>
      <c r="T18" s="5" t="s">
        <v>308</v>
      </c>
    </row>
    <row r="19" spans="1:20" ht="14.25" customHeight="1" x14ac:dyDescent="0.2">
      <c r="A19" s="5" t="s">
        <v>131</v>
      </c>
      <c r="B19" s="5" t="s">
        <v>132</v>
      </c>
      <c r="C19" s="5" t="s">
        <v>313</v>
      </c>
      <c r="D19" s="5" t="s">
        <v>48</v>
      </c>
      <c r="E19" s="5">
        <v>401.50040316614997</v>
      </c>
      <c r="F19" s="5">
        <v>0</v>
      </c>
      <c r="G19" s="5">
        <v>5</v>
      </c>
      <c r="H19" s="5">
        <v>78.28</v>
      </c>
      <c r="I19" s="5">
        <v>1.93</v>
      </c>
      <c r="J19" s="5">
        <v>7.96</v>
      </c>
      <c r="K19" s="5">
        <v>1.9750000000000001</v>
      </c>
      <c r="L19" s="5">
        <v>5.4924979841692503</v>
      </c>
      <c r="M19" s="5">
        <v>2.8830219999999995</v>
      </c>
      <c r="N19" s="5">
        <v>4.5464570000000002</v>
      </c>
      <c r="O19" s="5">
        <v>5</v>
      </c>
      <c r="P19" s="5">
        <f t="shared" si="0"/>
        <v>-3.0249999999999999</v>
      </c>
      <c r="Q19" s="5" t="s">
        <v>147</v>
      </c>
      <c r="R19" s="5">
        <v>-2.8</v>
      </c>
      <c r="S19" s="5">
        <v>-0.26</v>
      </c>
      <c r="T19" s="5" t="s">
        <v>310</v>
      </c>
    </row>
    <row r="20" spans="1:20" ht="15" customHeight="1" x14ac:dyDescent="0.2">
      <c r="A20" s="5" t="s">
        <v>170</v>
      </c>
      <c r="B20" s="5" t="s">
        <v>171</v>
      </c>
      <c r="C20" s="5" t="s">
        <v>314</v>
      </c>
      <c r="D20" s="5" t="s">
        <v>48</v>
      </c>
      <c r="E20" s="5">
        <v>355.47800000274992</v>
      </c>
      <c r="F20" s="5">
        <v>1</v>
      </c>
      <c r="G20" s="5">
        <v>4</v>
      </c>
      <c r="H20" s="5">
        <v>41.93</v>
      </c>
      <c r="I20" s="5">
        <v>1.91</v>
      </c>
      <c r="J20" s="5">
        <v>9.19</v>
      </c>
      <c r="K20" s="5">
        <v>4.1849999999999996</v>
      </c>
      <c r="L20" s="5">
        <v>4.2851099999862505</v>
      </c>
      <c r="M20" s="5">
        <v>3.8225600000000006</v>
      </c>
      <c r="N20" s="5">
        <v>5.3097200000000004</v>
      </c>
      <c r="O20" s="5">
        <v>4</v>
      </c>
      <c r="P20" s="5">
        <f t="shared" si="0"/>
        <v>0.18499999999999961</v>
      </c>
      <c r="Q20" s="5" t="s">
        <v>5</v>
      </c>
      <c r="R20" s="5">
        <v>-2.9</v>
      </c>
      <c r="S20" s="5">
        <v>0.15</v>
      </c>
      <c r="T20" s="5" t="s">
        <v>310</v>
      </c>
    </row>
    <row r="21" spans="1:20" ht="15" customHeight="1" x14ac:dyDescent="0.2">
      <c r="A21" s="5" t="s">
        <v>162</v>
      </c>
      <c r="B21" s="5" t="s">
        <v>163</v>
      </c>
      <c r="C21" s="5" t="s">
        <v>314</v>
      </c>
      <c r="D21" s="5" t="s">
        <v>161</v>
      </c>
      <c r="E21" s="5">
        <v>354.45000000259995</v>
      </c>
      <c r="F21" s="5">
        <v>0</v>
      </c>
      <c r="G21" s="5">
        <v>5</v>
      </c>
      <c r="H21" s="5">
        <v>51.66</v>
      </c>
      <c r="I21" s="5">
        <v>1.68</v>
      </c>
      <c r="J21" s="5">
        <v>9.7799999999999994</v>
      </c>
      <c r="K21" s="5">
        <v>4.18</v>
      </c>
      <c r="L21" s="5">
        <v>4.2477499999870005</v>
      </c>
      <c r="M21" s="5">
        <v>4</v>
      </c>
      <c r="N21" s="5">
        <v>4.9790200000000002</v>
      </c>
      <c r="O21" s="5">
        <v>5</v>
      </c>
      <c r="P21" s="5">
        <f t="shared" si="0"/>
        <v>-0.82000000000000028</v>
      </c>
      <c r="Q21" s="5" t="s">
        <v>5</v>
      </c>
      <c r="R21" s="5">
        <v>-2.2799999999999998</v>
      </c>
      <c r="S21" s="5">
        <v>0.79</v>
      </c>
      <c r="T21" s="5" t="s">
        <v>307</v>
      </c>
    </row>
    <row r="22" spans="1:20" ht="15" customHeight="1" x14ac:dyDescent="0.2">
      <c r="A22" s="5" t="s">
        <v>103</v>
      </c>
      <c r="B22" s="5" t="s">
        <v>105</v>
      </c>
      <c r="C22" s="5" t="s">
        <v>313</v>
      </c>
      <c r="D22" s="5" t="s">
        <v>104</v>
      </c>
      <c r="E22" s="5">
        <v>340.80400000219998</v>
      </c>
      <c r="F22" s="5">
        <v>2</v>
      </c>
      <c r="G22" s="5">
        <v>6</v>
      </c>
      <c r="H22" s="5">
        <v>74.02</v>
      </c>
      <c r="I22" s="5">
        <v>1.65</v>
      </c>
      <c r="J22" s="5">
        <v>8.84</v>
      </c>
      <c r="K22" s="5">
        <v>2.7890000000000001</v>
      </c>
      <c r="L22" s="5">
        <v>4.8759799999890001</v>
      </c>
      <c r="M22" s="5">
        <v>1.9417435199513364</v>
      </c>
      <c r="N22" s="5">
        <v>3.9274969999999998</v>
      </c>
      <c r="O22" s="5">
        <v>6</v>
      </c>
      <c r="P22" s="5">
        <f t="shared" si="0"/>
        <v>-3.2109999999999999</v>
      </c>
      <c r="Q22" s="5" t="s">
        <v>5</v>
      </c>
      <c r="R22" s="5">
        <v>-2.78</v>
      </c>
      <c r="S22" s="5">
        <v>0.47</v>
      </c>
      <c r="T22" s="5" t="s">
        <v>308</v>
      </c>
    </row>
    <row r="23" spans="1:20" ht="15" customHeight="1" x14ac:dyDescent="0.2">
      <c r="A23" s="5" t="s">
        <v>68</v>
      </c>
      <c r="B23" s="5" t="s">
        <v>70</v>
      </c>
      <c r="C23" s="5" t="s">
        <v>313</v>
      </c>
      <c r="D23" s="5" t="s">
        <v>69</v>
      </c>
      <c r="E23" s="5">
        <v>385.45740316590002</v>
      </c>
      <c r="F23" s="5">
        <v>0</v>
      </c>
      <c r="G23" s="5">
        <v>5</v>
      </c>
      <c r="H23" s="5">
        <v>61.89</v>
      </c>
      <c r="I23" s="5">
        <v>2.21</v>
      </c>
      <c r="J23" s="5">
        <v>7.95</v>
      </c>
      <c r="K23" s="5">
        <v>3.7650000000000001</v>
      </c>
      <c r="L23" s="5">
        <v>5.0852129841705001</v>
      </c>
      <c r="M23" s="5">
        <v>4.2828599999999994</v>
      </c>
      <c r="N23" s="5">
        <v>4.5922419999999997</v>
      </c>
      <c r="O23" s="5">
        <v>5</v>
      </c>
      <c r="P23" s="5">
        <f t="shared" si="0"/>
        <v>-1.2349999999999999</v>
      </c>
      <c r="Q23" s="5" t="s">
        <v>5</v>
      </c>
      <c r="R23" s="5">
        <v>-2.41</v>
      </c>
      <c r="S23" s="5">
        <v>0.22</v>
      </c>
      <c r="T23" s="5" t="s">
        <v>307</v>
      </c>
    </row>
    <row r="24" spans="1:20" ht="15" customHeight="1" x14ac:dyDescent="0.2">
      <c r="A24" s="5" t="s">
        <v>11</v>
      </c>
      <c r="B24" s="5" t="s">
        <v>10</v>
      </c>
      <c r="C24" s="5" t="s">
        <v>313</v>
      </c>
      <c r="D24" s="5" t="s">
        <v>12</v>
      </c>
      <c r="E24" s="5">
        <v>324.40040316594997</v>
      </c>
      <c r="F24" s="5">
        <v>1</v>
      </c>
      <c r="G24" s="5">
        <v>6</v>
      </c>
      <c r="H24" s="5">
        <v>65.010000000000005</v>
      </c>
      <c r="I24" s="5">
        <v>0.49</v>
      </c>
      <c r="J24" s="5">
        <v>9.58</v>
      </c>
      <c r="K24" s="5">
        <v>3.3010000000000002</v>
      </c>
      <c r="L24" s="5">
        <v>4.6874979841702498</v>
      </c>
      <c r="M24" s="5">
        <v>4.4128270819691862</v>
      </c>
      <c r="N24" s="5">
        <v>4.1267240000000003</v>
      </c>
      <c r="O24" s="5">
        <v>6</v>
      </c>
      <c r="P24" s="5">
        <f t="shared" si="0"/>
        <v>-2.6989999999999998</v>
      </c>
      <c r="Q24" s="5" t="s">
        <v>5</v>
      </c>
      <c r="R24" s="5">
        <v>-2.67</v>
      </c>
      <c r="S24" s="5">
        <v>0.44</v>
      </c>
      <c r="T24" s="5" t="s">
        <v>308</v>
      </c>
    </row>
    <row r="25" spans="1:20" ht="15" customHeight="1" x14ac:dyDescent="0.2">
      <c r="A25" s="5" t="s">
        <v>73</v>
      </c>
      <c r="B25" s="5" t="s">
        <v>299</v>
      </c>
      <c r="C25" s="5" t="s">
        <v>313</v>
      </c>
      <c r="D25" s="5" t="s">
        <v>12</v>
      </c>
      <c r="E25" s="5">
        <v>302.37799999999999</v>
      </c>
      <c r="F25" s="5">
        <v>1</v>
      </c>
      <c r="G25" s="5">
        <v>6</v>
      </c>
      <c r="H25" s="5">
        <v>69.3</v>
      </c>
      <c r="I25" s="5">
        <v>2.63</v>
      </c>
      <c r="J25" s="5">
        <v>2.36</v>
      </c>
      <c r="K25" s="5">
        <v>3.11</v>
      </c>
      <c r="L25" s="5">
        <v>5.3681099999999997</v>
      </c>
      <c r="M25" s="5">
        <v>4.9708500000000004</v>
      </c>
      <c r="N25" s="5">
        <v>4.2123030000000004</v>
      </c>
      <c r="O25" s="5">
        <v>6</v>
      </c>
      <c r="P25" s="5">
        <f t="shared" si="0"/>
        <v>-2.89</v>
      </c>
      <c r="Q25" s="5" t="s">
        <v>5</v>
      </c>
      <c r="R25" s="5">
        <v>-1.91</v>
      </c>
      <c r="S25" s="5">
        <v>0.53</v>
      </c>
      <c r="T25" s="5" t="s">
        <v>308</v>
      </c>
    </row>
    <row r="26" spans="1:20" ht="15" customHeight="1" x14ac:dyDescent="0.2">
      <c r="A26" s="5" t="s">
        <v>116</v>
      </c>
      <c r="B26" s="5" t="s">
        <v>118</v>
      </c>
      <c r="C26" s="5" t="s">
        <v>313</v>
      </c>
      <c r="D26" s="5" t="s">
        <v>117</v>
      </c>
      <c r="E26" s="5">
        <v>171.24000000145</v>
      </c>
      <c r="F26" s="5">
        <v>0</v>
      </c>
      <c r="G26" s="5">
        <v>3</v>
      </c>
      <c r="H26" s="5">
        <v>29.54</v>
      </c>
      <c r="I26" s="5">
        <v>0.63</v>
      </c>
      <c r="J26" s="5">
        <v>7.79</v>
      </c>
      <c r="K26" s="5">
        <v>0.59899999999999998</v>
      </c>
      <c r="L26" s="5">
        <v>5.4770000000000003</v>
      </c>
      <c r="M26" s="5">
        <v>3.7413499999999997</v>
      </c>
      <c r="N26" s="5">
        <v>4.4446380000000003</v>
      </c>
      <c r="O26" s="5">
        <v>3</v>
      </c>
      <c r="P26" s="5">
        <f t="shared" si="0"/>
        <v>-2.4009999999999998</v>
      </c>
      <c r="Q26" s="5" t="s">
        <v>5</v>
      </c>
      <c r="R26" s="5">
        <v>-2.1</v>
      </c>
      <c r="S26" s="5">
        <v>0.14000000000000001</v>
      </c>
      <c r="T26" s="5" t="s">
        <v>311</v>
      </c>
    </row>
    <row r="27" spans="1:20" ht="15" customHeight="1" x14ac:dyDescent="0.2">
      <c r="A27" s="5" t="s">
        <v>140</v>
      </c>
      <c r="B27" s="5" t="s">
        <v>144</v>
      </c>
      <c r="C27" s="5" t="s">
        <v>313</v>
      </c>
      <c r="D27" s="5" t="s">
        <v>117</v>
      </c>
      <c r="E27" s="5">
        <v>389.49900000279996</v>
      </c>
      <c r="F27" s="5">
        <v>0</v>
      </c>
      <c r="G27" s="5">
        <v>5</v>
      </c>
      <c r="H27" s="5">
        <v>49.58</v>
      </c>
      <c r="I27" s="5">
        <v>2.35</v>
      </c>
      <c r="J27" s="5">
        <v>8.66</v>
      </c>
      <c r="K27" s="5">
        <v>3.629</v>
      </c>
      <c r="L27" s="5">
        <v>4.733004999986</v>
      </c>
      <c r="M27" s="5">
        <v>3.8467499999999997</v>
      </c>
      <c r="N27" s="5">
        <v>4.8133330000000001</v>
      </c>
      <c r="O27" s="5">
        <v>5</v>
      </c>
      <c r="P27" s="5">
        <f t="shared" si="0"/>
        <v>-1.371</v>
      </c>
      <c r="Q27" s="5" t="s">
        <v>5</v>
      </c>
      <c r="R27" s="5">
        <v>-2.86</v>
      </c>
      <c r="S27" s="5">
        <v>0.06</v>
      </c>
      <c r="T27" s="5" t="s">
        <v>310</v>
      </c>
    </row>
    <row r="28" spans="1:20" ht="15" customHeight="1" x14ac:dyDescent="0.2">
      <c r="A28" s="5" t="s">
        <v>179</v>
      </c>
      <c r="B28" s="5" t="s">
        <v>303</v>
      </c>
      <c r="C28" s="5" t="s">
        <v>313</v>
      </c>
      <c r="D28" s="5" t="s">
        <v>341</v>
      </c>
      <c r="E28" s="5">
        <v>389.42</v>
      </c>
      <c r="F28" s="5">
        <v>2</v>
      </c>
      <c r="G28" s="5">
        <v>9</v>
      </c>
      <c r="H28" s="5">
        <v>109.28</v>
      </c>
      <c r="I28" s="5">
        <v>2</v>
      </c>
      <c r="J28" s="5">
        <v>2.8</v>
      </c>
      <c r="K28" s="5">
        <v>3.52</v>
      </c>
      <c r="L28" s="5">
        <v>4.1538759999999995</v>
      </c>
      <c r="M28" s="5">
        <v>2.802</v>
      </c>
      <c r="N28" s="5">
        <v>2.6482169999999998</v>
      </c>
      <c r="O28" s="5">
        <v>9</v>
      </c>
      <c r="P28" s="5">
        <f t="shared" si="0"/>
        <v>-5.48</v>
      </c>
      <c r="Q28" s="5" t="s">
        <v>147</v>
      </c>
      <c r="R28" s="5">
        <v>-3.44</v>
      </c>
      <c r="S28" s="5">
        <v>-0.63</v>
      </c>
      <c r="T28" s="5" t="s">
        <v>310</v>
      </c>
    </row>
    <row r="29" spans="1:20" ht="15" customHeight="1" x14ac:dyDescent="0.2">
      <c r="A29" s="5" t="s">
        <v>180</v>
      </c>
      <c r="B29" s="5" t="s">
        <v>304</v>
      </c>
      <c r="C29" s="5" t="s">
        <v>313</v>
      </c>
      <c r="D29" s="5" t="s">
        <v>341</v>
      </c>
      <c r="E29" s="5">
        <v>503.56700000000001</v>
      </c>
      <c r="F29" s="5">
        <v>2</v>
      </c>
      <c r="G29" s="5">
        <v>12</v>
      </c>
      <c r="H29" s="5">
        <v>124.99</v>
      </c>
      <c r="I29" s="5">
        <v>1.5</v>
      </c>
      <c r="J29" s="5">
        <v>6.4</v>
      </c>
      <c r="K29" s="5">
        <v>2.7949999999999999</v>
      </c>
      <c r="L29" s="5">
        <v>3.5</v>
      </c>
      <c r="M29" s="5">
        <v>2</v>
      </c>
      <c r="N29" s="5">
        <v>1.8537300000000001</v>
      </c>
      <c r="O29" s="5">
        <v>12</v>
      </c>
      <c r="P29" s="5">
        <f t="shared" si="0"/>
        <v>-9.2050000000000001</v>
      </c>
      <c r="Q29" s="5" t="s">
        <v>147</v>
      </c>
      <c r="R29" s="5">
        <v>-3.85</v>
      </c>
      <c r="S29" s="5">
        <v>-0.72</v>
      </c>
      <c r="T29" s="5" t="s">
        <v>310</v>
      </c>
    </row>
    <row r="30" spans="1:20" ht="15" customHeight="1" x14ac:dyDescent="0.2">
      <c r="A30" s="5" t="s">
        <v>181</v>
      </c>
      <c r="B30" s="5" t="s">
        <v>182</v>
      </c>
      <c r="C30" s="5" t="s">
        <v>313</v>
      </c>
      <c r="D30" s="5" t="s">
        <v>341</v>
      </c>
      <c r="E30" s="5">
        <v>384.4360000026</v>
      </c>
      <c r="F30" s="5">
        <v>0</v>
      </c>
      <c r="G30" s="5">
        <v>8</v>
      </c>
      <c r="H30" s="5">
        <v>76.900000000000006</v>
      </c>
      <c r="I30" s="5">
        <v>2.54</v>
      </c>
      <c r="J30" s="5">
        <v>0.47</v>
      </c>
      <c r="K30" s="5">
        <v>3.028</v>
      </c>
      <c r="L30" s="5">
        <v>5.2938199999869999</v>
      </c>
      <c r="M30" s="5">
        <v>3.7212999999999998</v>
      </c>
      <c r="N30" s="5">
        <v>3.9569749999999999</v>
      </c>
      <c r="O30" s="5">
        <v>8</v>
      </c>
      <c r="P30" s="5">
        <f t="shared" si="0"/>
        <v>-4.9719999999999995</v>
      </c>
      <c r="Q30" s="5" t="s">
        <v>147</v>
      </c>
      <c r="R30" s="5">
        <v>-1.97</v>
      </c>
      <c r="S30" s="5">
        <v>0.47</v>
      </c>
      <c r="T30" s="5" t="s">
        <v>308</v>
      </c>
    </row>
    <row r="31" spans="1:20" ht="15" customHeight="1" x14ac:dyDescent="0.2">
      <c r="A31" s="5" t="s">
        <v>183</v>
      </c>
      <c r="B31" s="5" t="s">
        <v>305</v>
      </c>
      <c r="C31" s="5" t="s">
        <v>313</v>
      </c>
      <c r="D31" s="5" t="s">
        <v>341</v>
      </c>
      <c r="E31" s="5">
        <v>491.5314032</v>
      </c>
      <c r="F31" s="5">
        <v>2</v>
      </c>
      <c r="G31" s="5">
        <v>11</v>
      </c>
      <c r="H31" s="5">
        <v>115.76</v>
      </c>
      <c r="I31" s="5">
        <v>1.7</v>
      </c>
      <c r="J31" s="5">
        <v>6.3</v>
      </c>
      <c r="K31" s="5">
        <v>3.25</v>
      </c>
      <c r="L31" s="5">
        <v>3.5625349839999991</v>
      </c>
      <c r="M31" s="5">
        <v>3</v>
      </c>
      <c r="N31" s="5">
        <v>2.2412190000000001</v>
      </c>
      <c r="O31" s="5">
        <v>11</v>
      </c>
      <c r="P31" s="5">
        <f t="shared" si="0"/>
        <v>-7.75</v>
      </c>
      <c r="Q31" s="5" t="s">
        <v>147</v>
      </c>
      <c r="R31" s="5">
        <v>-3.29</v>
      </c>
      <c r="S31" s="5">
        <v>-0.26</v>
      </c>
      <c r="T31" s="5" t="s">
        <v>307</v>
      </c>
    </row>
    <row r="32" spans="1:20" ht="15" customHeight="1" x14ac:dyDescent="0.2">
      <c r="A32" s="5" t="s">
        <v>8</v>
      </c>
      <c r="B32" s="5" t="s">
        <v>7</v>
      </c>
      <c r="C32" s="5" t="s">
        <v>313</v>
      </c>
      <c r="D32" s="5" t="s">
        <v>9</v>
      </c>
      <c r="E32" s="5">
        <v>388.4240000026</v>
      </c>
      <c r="F32" s="5">
        <v>0</v>
      </c>
      <c r="G32" s="5">
        <v>9</v>
      </c>
      <c r="H32" s="5">
        <v>83.91</v>
      </c>
      <c r="I32" s="5">
        <v>-0.6</v>
      </c>
      <c r="J32" s="5">
        <v>8.82</v>
      </c>
      <c r="K32" s="5">
        <v>2.2570000000000001</v>
      </c>
      <c r="L32" s="5">
        <v>5.1478799999869995</v>
      </c>
      <c r="M32" s="5">
        <v>2.397824</v>
      </c>
      <c r="N32" s="5">
        <v>3.4758089999999999</v>
      </c>
      <c r="O32" s="5">
        <v>9</v>
      </c>
      <c r="P32" s="5">
        <f t="shared" si="0"/>
        <v>-6.7430000000000003</v>
      </c>
      <c r="Q32" s="5" t="s">
        <v>147</v>
      </c>
      <c r="R32" s="5">
        <v>-3.8</v>
      </c>
      <c r="S32" s="5">
        <v>-0.41</v>
      </c>
      <c r="T32" s="5" t="s">
        <v>308</v>
      </c>
    </row>
    <row r="33" spans="1:20" ht="15" customHeight="1" x14ac:dyDescent="0.2">
      <c r="A33" s="5" t="s">
        <v>24</v>
      </c>
      <c r="B33" s="5" t="s">
        <v>25</v>
      </c>
      <c r="C33" s="5" t="s">
        <v>313</v>
      </c>
      <c r="D33" s="5" t="s">
        <v>26</v>
      </c>
      <c r="E33" s="5">
        <v>256.32300000149996</v>
      </c>
      <c r="F33" s="5">
        <v>2</v>
      </c>
      <c r="G33" s="5">
        <v>3</v>
      </c>
      <c r="H33" s="5">
        <v>73.39</v>
      </c>
      <c r="I33" s="5">
        <v>3.22</v>
      </c>
      <c r="J33" s="5">
        <v>3.05</v>
      </c>
      <c r="K33" s="5">
        <v>3.9910000000000001</v>
      </c>
      <c r="L33" s="5">
        <v>4.3944999999999999</v>
      </c>
      <c r="M33" s="5">
        <v>3.563196</v>
      </c>
      <c r="N33" s="5">
        <v>4.5923639999999999</v>
      </c>
      <c r="O33" s="5">
        <v>3</v>
      </c>
      <c r="P33" s="5">
        <f t="shared" si="0"/>
        <v>0.9910000000000001</v>
      </c>
      <c r="Q33" s="5" t="s">
        <v>5</v>
      </c>
      <c r="R33" s="5">
        <v>-2.5099999999999998</v>
      </c>
      <c r="S33" s="5">
        <v>0.03</v>
      </c>
      <c r="T33" s="5" t="s">
        <v>310</v>
      </c>
    </row>
    <row r="34" spans="1:20" ht="15" customHeight="1" x14ac:dyDescent="0.2">
      <c r="A34" s="5" t="s">
        <v>106</v>
      </c>
      <c r="B34" s="5" t="s">
        <v>107</v>
      </c>
      <c r="C34" s="5" t="s">
        <v>313</v>
      </c>
      <c r="D34" s="5" t="s">
        <v>26</v>
      </c>
      <c r="E34" s="5">
        <v>360.42940316609997</v>
      </c>
      <c r="F34" s="5">
        <v>1</v>
      </c>
      <c r="G34" s="5">
        <v>5</v>
      </c>
      <c r="H34" s="5">
        <v>52.61</v>
      </c>
      <c r="I34" s="5">
        <v>3.08</v>
      </c>
      <c r="J34" s="5">
        <v>4.38</v>
      </c>
      <c r="K34" s="5">
        <v>3.3420000000000001</v>
      </c>
      <c r="L34" s="5">
        <v>4.7368529841695004</v>
      </c>
      <c r="M34" s="5">
        <v>4</v>
      </c>
      <c r="N34" s="5">
        <v>5.1248880000000003</v>
      </c>
      <c r="O34" s="5">
        <v>5</v>
      </c>
      <c r="P34" s="5">
        <f t="shared" si="0"/>
        <v>-1.6579999999999999</v>
      </c>
      <c r="Q34" s="5" t="s">
        <v>5</v>
      </c>
      <c r="R34" s="5">
        <v>-2.64</v>
      </c>
      <c r="S34" s="5">
        <v>-0.13</v>
      </c>
      <c r="T34" s="5" t="s">
        <v>310</v>
      </c>
    </row>
    <row r="35" spans="1:20" ht="15" customHeight="1" x14ac:dyDescent="0.2">
      <c r="A35" s="5" t="s">
        <v>108</v>
      </c>
      <c r="B35" s="5" t="s">
        <v>109</v>
      </c>
      <c r="C35" s="5" t="s">
        <v>313</v>
      </c>
      <c r="D35" s="5" t="s">
        <v>26</v>
      </c>
      <c r="E35" s="5">
        <v>258.25240316504994</v>
      </c>
      <c r="F35" s="5">
        <v>2</v>
      </c>
      <c r="G35" s="5">
        <v>4</v>
      </c>
      <c r="H35" s="5">
        <v>58.29</v>
      </c>
      <c r="I35" s="5">
        <v>3.26</v>
      </c>
      <c r="J35" s="5">
        <v>2.33</v>
      </c>
      <c r="K35" s="5">
        <v>3.3809999999999998</v>
      </c>
      <c r="L35" s="5">
        <v>4.6795</v>
      </c>
      <c r="M35" s="5">
        <v>4</v>
      </c>
      <c r="N35" s="5">
        <v>4.6698820000000003</v>
      </c>
      <c r="O35" s="5">
        <v>4</v>
      </c>
      <c r="P35" s="5">
        <f t="shared" si="0"/>
        <v>-0.61900000000000022</v>
      </c>
      <c r="Q35" s="5" t="s">
        <v>5</v>
      </c>
      <c r="R35" s="5">
        <v>-3.17</v>
      </c>
      <c r="S35" s="5">
        <v>-0.56999999999999995</v>
      </c>
      <c r="T35" s="5" t="s">
        <v>310</v>
      </c>
    </row>
    <row r="36" spans="1:20" ht="15" customHeight="1" x14ac:dyDescent="0.2">
      <c r="A36" s="5" t="s">
        <v>110</v>
      </c>
      <c r="B36" s="5" t="s">
        <v>111</v>
      </c>
      <c r="C36" s="5" t="s">
        <v>313</v>
      </c>
      <c r="D36" s="5" t="s">
        <v>26</v>
      </c>
      <c r="E36" s="5">
        <v>333.38140316549999</v>
      </c>
      <c r="F36" s="5">
        <v>0</v>
      </c>
      <c r="G36" s="5">
        <v>5</v>
      </c>
      <c r="H36" s="5">
        <v>79.63</v>
      </c>
      <c r="I36" s="5">
        <v>2.9</v>
      </c>
      <c r="J36" s="5">
        <v>4.41</v>
      </c>
      <c r="K36" s="5">
        <v>3.6139999999999999</v>
      </c>
      <c r="L36" s="5">
        <v>5.0760929841725</v>
      </c>
      <c r="M36" s="5">
        <v>3.5767353619791402</v>
      </c>
      <c r="N36" s="5">
        <v>4.6317399999999997</v>
      </c>
      <c r="O36" s="5">
        <v>5</v>
      </c>
      <c r="P36" s="5">
        <f t="shared" si="0"/>
        <v>-1.3860000000000001</v>
      </c>
      <c r="Q36" s="5" t="s">
        <v>5</v>
      </c>
      <c r="R36" s="5">
        <v>-2.64</v>
      </c>
      <c r="S36" s="5">
        <v>-0.3</v>
      </c>
      <c r="T36" s="5" t="s">
        <v>310</v>
      </c>
    </row>
    <row r="37" spans="1:20" ht="15" customHeight="1" x14ac:dyDescent="0.2">
      <c r="A37" s="5" t="s">
        <v>112</v>
      </c>
      <c r="B37" s="5" t="s">
        <v>113</v>
      </c>
      <c r="C37" s="5" t="s">
        <v>313</v>
      </c>
      <c r="D37" s="5" t="s">
        <v>26</v>
      </c>
      <c r="E37" s="5">
        <v>274.31340316504998</v>
      </c>
      <c r="F37" s="5">
        <v>2</v>
      </c>
      <c r="G37" s="5">
        <v>3</v>
      </c>
      <c r="H37" s="5">
        <v>73.39</v>
      </c>
      <c r="I37" s="5">
        <v>3.3</v>
      </c>
      <c r="J37" s="5">
        <v>1.24</v>
      </c>
      <c r="K37" s="5">
        <v>4.3019999999999996</v>
      </c>
      <c r="L37" s="5">
        <v>4.1989999999999998</v>
      </c>
      <c r="M37" s="5">
        <v>3.563196</v>
      </c>
      <c r="N37" s="5">
        <v>4.6288590000000003</v>
      </c>
      <c r="O37" s="5">
        <v>3</v>
      </c>
      <c r="P37" s="5">
        <f t="shared" si="0"/>
        <v>1.3019999999999996</v>
      </c>
      <c r="Q37" s="5" t="s">
        <v>5</v>
      </c>
      <c r="R37" s="5">
        <v>-2.52</v>
      </c>
      <c r="S37" s="5">
        <v>0.06</v>
      </c>
      <c r="T37" s="5" t="s">
        <v>310</v>
      </c>
    </row>
    <row r="38" spans="1:20" ht="15" customHeight="1" x14ac:dyDescent="0.2">
      <c r="A38" s="5" t="s">
        <v>74</v>
      </c>
      <c r="B38" s="5" t="s">
        <v>76</v>
      </c>
      <c r="C38" s="5" t="s">
        <v>313</v>
      </c>
      <c r="D38" s="5" t="s">
        <v>75</v>
      </c>
      <c r="E38" s="5">
        <v>470.35400000265003</v>
      </c>
      <c r="F38" s="5">
        <v>1</v>
      </c>
      <c r="G38" s="5">
        <v>7</v>
      </c>
      <c r="H38" s="5">
        <v>83.18</v>
      </c>
      <c r="I38" s="5">
        <v>4.3899999999999997</v>
      </c>
      <c r="J38" s="5">
        <v>2.85</v>
      </c>
      <c r="K38" s="5">
        <v>5.2770000000000001</v>
      </c>
      <c r="L38" s="5">
        <v>2.89822999998675</v>
      </c>
      <c r="M38" s="5">
        <v>2.1363519999999996</v>
      </c>
      <c r="N38" s="5">
        <v>3.5829810000000002</v>
      </c>
      <c r="O38" s="5">
        <v>7</v>
      </c>
      <c r="P38" s="5">
        <f t="shared" si="0"/>
        <v>-1.7229999999999999</v>
      </c>
      <c r="Q38" s="5" t="s">
        <v>147</v>
      </c>
      <c r="R38" s="5">
        <v>-3.09</v>
      </c>
      <c r="S38" s="5">
        <v>0</v>
      </c>
      <c r="T38" s="5" t="s">
        <v>310</v>
      </c>
    </row>
    <row r="39" spans="1:20" ht="15" customHeight="1" x14ac:dyDescent="0.2">
      <c r="A39" s="5" t="s">
        <v>91</v>
      </c>
      <c r="B39" s="5" t="s">
        <v>92</v>
      </c>
      <c r="C39" s="5" t="s">
        <v>313</v>
      </c>
      <c r="D39" s="5" t="s">
        <v>75</v>
      </c>
      <c r="E39" s="5">
        <v>464.58140316689992</v>
      </c>
      <c r="F39" s="5">
        <v>1</v>
      </c>
      <c r="G39" s="5">
        <v>5</v>
      </c>
      <c r="H39" s="5">
        <v>60.45</v>
      </c>
      <c r="I39" s="5">
        <v>5.47</v>
      </c>
      <c r="J39" s="5">
        <v>3.51</v>
      </c>
      <c r="K39" s="5">
        <v>5.3369999999999997</v>
      </c>
      <c r="L39" s="5">
        <v>2.9270929841655002</v>
      </c>
      <c r="M39" s="5">
        <v>3</v>
      </c>
      <c r="N39" s="5">
        <v>3.9629089999999998</v>
      </c>
      <c r="O39" s="5">
        <v>5</v>
      </c>
      <c r="P39" s="5">
        <f t="shared" si="0"/>
        <v>0.33699999999999974</v>
      </c>
      <c r="Q39" s="5" t="s">
        <v>147</v>
      </c>
      <c r="R39" s="5">
        <v>-2.93</v>
      </c>
      <c r="S39" s="5">
        <v>0.46</v>
      </c>
      <c r="T39" s="5" t="s">
        <v>310</v>
      </c>
    </row>
    <row r="40" spans="1:20" ht="15" customHeight="1" x14ac:dyDescent="0.2">
      <c r="A40" s="5" t="s">
        <v>184</v>
      </c>
      <c r="B40" s="5" t="s">
        <v>185</v>
      </c>
      <c r="C40" s="5" t="s">
        <v>313</v>
      </c>
      <c r="D40" s="5" t="s">
        <v>75</v>
      </c>
      <c r="E40" s="5">
        <v>454.4932094935499</v>
      </c>
      <c r="F40" s="5">
        <v>1</v>
      </c>
      <c r="G40" s="5">
        <v>4</v>
      </c>
      <c r="H40" s="5">
        <v>41.57</v>
      </c>
      <c r="I40" s="5">
        <v>4.3099999999999996</v>
      </c>
      <c r="J40" s="5">
        <v>7.29</v>
      </c>
      <c r="K40" s="5">
        <v>5.9470000000000001</v>
      </c>
      <c r="L40" s="5">
        <v>2.9775339525322506</v>
      </c>
      <c r="M40" s="5">
        <v>2.73645</v>
      </c>
      <c r="N40" s="5">
        <v>4.4540990000000003</v>
      </c>
      <c r="O40" s="5">
        <v>4</v>
      </c>
      <c r="P40" s="5">
        <f t="shared" si="0"/>
        <v>1.9470000000000001</v>
      </c>
      <c r="Q40" s="5" t="s">
        <v>147</v>
      </c>
      <c r="R40" s="5">
        <v>-2.91</v>
      </c>
      <c r="S40" s="5">
        <v>0.16</v>
      </c>
      <c r="T40" s="5" t="s">
        <v>310</v>
      </c>
    </row>
    <row r="41" spans="1:20" ht="15" customHeight="1" x14ac:dyDescent="0.2">
      <c r="A41" s="5" t="s">
        <v>186</v>
      </c>
      <c r="B41" s="5" t="s">
        <v>187</v>
      </c>
      <c r="C41" s="5" t="s">
        <v>313</v>
      </c>
      <c r="D41" s="5" t="s">
        <v>75</v>
      </c>
      <c r="E41" s="5">
        <v>474.49581621299996</v>
      </c>
      <c r="F41" s="5">
        <v>1</v>
      </c>
      <c r="G41" s="5">
        <v>4</v>
      </c>
      <c r="H41" s="5">
        <v>41.57</v>
      </c>
      <c r="I41" s="5">
        <v>4.62</v>
      </c>
      <c r="J41" s="5">
        <v>7.23</v>
      </c>
      <c r="K41" s="5">
        <v>6.12</v>
      </c>
      <c r="L41" s="5">
        <v>2.8775209189350002</v>
      </c>
      <c r="M41" s="5">
        <v>2.7625499999999996</v>
      </c>
      <c r="N41" s="5">
        <v>4.4369519999999998</v>
      </c>
      <c r="O41" s="5">
        <v>4</v>
      </c>
      <c r="P41" s="5">
        <f t="shared" si="0"/>
        <v>2.12</v>
      </c>
      <c r="Q41" s="5" t="s">
        <v>147</v>
      </c>
      <c r="R41" s="5">
        <v>-2.72</v>
      </c>
      <c r="S41" s="5">
        <v>0.46</v>
      </c>
      <c r="T41" s="5" t="s">
        <v>310</v>
      </c>
    </row>
    <row r="42" spans="1:20" ht="15" customHeight="1" x14ac:dyDescent="0.2">
      <c r="A42" s="5" t="s">
        <v>188</v>
      </c>
      <c r="B42" s="5" t="s">
        <v>189</v>
      </c>
      <c r="C42" s="5" t="s">
        <v>313</v>
      </c>
      <c r="D42" s="5" t="s">
        <v>75</v>
      </c>
      <c r="E42" s="5">
        <v>463.94000000250003</v>
      </c>
      <c r="F42" s="5">
        <v>2</v>
      </c>
      <c r="G42" s="5">
        <v>7</v>
      </c>
      <c r="H42" s="5">
        <v>120.29</v>
      </c>
      <c r="I42" s="5">
        <v>2.97</v>
      </c>
      <c r="J42" s="5">
        <v>-3.23</v>
      </c>
      <c r="K42" s="5">
        <v>3.2709999999999999</v>
      </c>
      <c r="L42" s="5">
        <v>3.0597999999874999</v>
      </c>
      <c r="M42" s="5">
        <v>2</v>
      </c>
      <c r="N42" s="5">
        <v>2.7129490000000001</v>
      </c>
      <c r="O42" s="5">
        <v>7</v>
      </c>
      <c r="P42" s="5">
        <f t="shared" si="0"/>
        <v>-3.7290000000000001</v>
      </c>
      <c r="Q42" s="5" t="s">
        <v>147</v>
      </c>
      <c r="R42" s="5">
        <v>-3.33</v>
      </c>
      <c r="S42" s="5">
        <v>-0.99</v>
      </c>
      <c r="T42" s="5" t="s">
        <v>310</v>
      </c>
    </row>
    <row r="43" spans="1:20" ht="15" customHeight="1" x14ac:dyDescent="0.2">
      <c r="A43" s="5" t="s">
        <v>150</v>
      </c>
      <c r="B43" s="5" t="s">
        <v>152</v>
      </c>
      <c r="C43" s="5" t="s">
        <v>314</v>
      </c>
      <c r="D43" s="5" t="s">
        <v>151</v>
      </c>
      <c r="E43" s="5">
        <v>437.36500000274992</v>
      </c>
      <c r="F43" s="5">
        <v>0</v>
      </c>
      <c r="G43" s="5">
        <v>6</v>
      </c>
      <c r="H43" s="5">
        <v>51.88</v>
      </c>
      <c r="I43" s="5">
        <v>3.25</v>
      </c>
      <c r="J43" s="5">
        <v>5.37</v>
      </c>
      <c r="K43" s="5">
        <v>4.6820000000000004</v>
      </c>
      <c r="L43" s="5">
        <v>3.8471749999862501</v>
      </c>
      <c r="M43" s="5">
        <v>4</v>
      </c>
      <c r="N43" s="5">
        <v>4.8040219999999998</v>
      </c>
      <c r="O43" s="5">
        <v>6</v>
      </c>
      <c r="P43" s="5">
        <f t="shared" si="0"/>
        <v>-1.3179999999999996</v>
      </c>
      <c r="Q43" s="5" t="s">
        <v>147</v>
      </c>
      <c r="R43" s="5">
        <v>-2.46</v>
      </c>
      <c r="S43" s="5">
        <v>-0.02</v>
      </c>
      <c r="T43" s="5" t="s">
        <v>310</v>
      </c>
    </row>
    <row r="44" spans="1:20" ht="15" customHeight="1" x14ac:dyDescent="0.2">
      <c r="A44" s="5" t="s">
        <v>100</v>
      </c>
      <c r="B44" s="5" t="s">
        <v>102</v>
      </c>
      <c r="C44" s="5" t="s">
        <v>313</v>
      </c>
      <c r="D44" s="5" t="s">
        <v>101</v>
      </c>
      <c r="E44" s="5">
        <v>327.80800000204999</v>
      </c>
      <c r="F44" s="5">
        <v>1</v>
      </c>
      <c r="G44" s="5">
        <v>3</v>
      </c>
      <c r="H44" s="5">
        <v>36.61</v>
      </c>
      <c r="I44" s="5">
        <v>3.36</v>
      </c>
      <c r="J44" s="5">
        <v>7.97</v>
      </c>
      <c r="K44" s="5">
        <v>4.5810000000000004</v>
      </c>
      <c r="L44" s="5">
        <v>3.9709599999897498</v>
      </c>
      <c r="M44" s="5">
        <v>3.4527370399546538</v>
      </c>
      <c r="N44" s="5">
        <v>4.9707590000000001</v>
      </c>
      <c r="O44" s="5">
        <v>3</v>
      </c>
      <c r="P44" s="5">
        <f t="shared" si="0"/>
        <v>1.5810000000000004</v>
      </c>
      <c r="Q44" s="5" t="s">
        <v>5</v>
      </c>
      <c r="R44" s="5">
        <v>-3.69</v>
      </c>
      <c r="S44" s="5">
        <v>-0.83</v>
      </c>
      <c r="T44" s="5" t="s">
        <v>310</v>
      </c>
    </row>
    <row r="45" spans="1:20" ht="15" customHeight="1" x14ac:dyDescent="0.2">
      <c r="A45" s="5" t="s">
        <v>13</v>
      </c>
      <c r="B45" s="5" t="s">
        <v>14</v>
      </c>
      <c r="C45" s="5" t="s">
        <v>313</v>
      </c>
      <c r="D45" s="5" t="s">
        <v>15</v>
      </c>
      <c r="E45" s="5">
        <v>395.47840316629998</v>
      </c>
      <c r="F45" s="5">
        <v>1</v>
      </c>
      <c r="G45" s="5">
        <v>5</v>
      </c>
      <c r="H45" s="5">
        <v>52.65</v>
      </c>
      <c r="I45" s="5">
        <v>1.37</v>
      </c>
      <c r="J45" s="5">
        <v>8.89</v>
      </c>
      <c r="K45" s="5">
        <v>3.0019999999999998</v>
      </c>
      <c r="L45" s="5">
        <v>4.8266079841684997</v>
      </c>
      <c r="M45" s="5">
        <v>4.2628500000000003</v>
      </c>
      <c r="N45" s="5">
        <v>4.9219970000000002</v>
      </c>
      <c r="O45" s="5">
        <v>5</v>
      </c>
      <c r="P45" s="5">
        <f t="shared" si="0"/>
        <v>-1.9980000000000002</v>
      </c>
      <c r="Q45" s="5" t="s">
        <v>5</v>
      </c>
      <c r="R45" s="5">
        <v>-2.98</v>
      </c>
      <c r="S45" s="5">
        <v>0.02</v>
      </c>
      <c r="T45" s="5" t="s">
        <v>310</v>
      </c>
    </row>
    <row r="46" spans="1:20" ht="15" customHeight="1" x14ac:dyDescent="0.2">
      <c r="A46" s="5" t="s">
        <v>61</v>
      </c>
      <c r="B46" s="5" t="s">
        <v>62</v>
      </c>
      <c r="C46" s="5" t="s">
        <v>313</v>
      </c>
      <c r="D46" s="5" t="s">
        <v>15</v>
      </c>
      <c r="E46" s="5">
        <v>371.27500000224995</v>
      </c>
      <c r="F46" s="5">
        <v>1</v>
      </c>
      <c r="G46" s="5">
        <v>5</v>
      </c>
      <c r="H46" s="5">
        <v>50.8</v>
      </c>
      <c r="I46" s="5">
        <v>0.57999999999999996</v>
      </c>
      <c r="J46" s="5">
        <v>8.9700000000000006</v>
      </c>
      <c r="K46" s="5">
        <v>3.3159999999999998</v>
      </c>
      <c r="L46" s="5">
        <v>4.7506249999887498</v>
      </c>
      <c r="M46" s="5">
        <v>4.2280499999999996</v>
      </c>
      <c r="N46" s="5">
        <v>4.864865</v>
      </c>
      <c r="O46" s="5">
        <v>5</v>
      </c>
      <c r="P46" s="5">
        <f t="shared" si="0"/>
        <v>-1.6840000000000002</v>
      </c>
      <c r="Q46" s="5" t="s">
        <v>5</v>
      </c>
      <c r="R46" s="5">
        <v>-2.74</v>
      </c>
      <c r="S46" s="5">
        <v>0.23</v>
      </c>
      <c r="T46" s="5" t="s">
        <v>308</v>
      </c>
    </row>
    <row r="47" spans="1:20" ht="15" customHeight="1" x14ac:dyDescent="0.2">
      <c r="A47" s="5" t="s">
        <v>93</v>
      </c>
      <c r="B47" s="5" t="s">
        <v>94</v>
      </c>
      <c r="C47" s="5" t="s">
        <v>313</v>
      </c>
      <c r="D47" s="5" t="s">
        <v>15</v>
      </c>
      <c r="E47" s="5">
        <v>364.46140316629999</v>
      </c>
      <c r="F47" s="5">
        <v>1</v>
      </c>
      <c r="G47" s="5">
        <v>5</v>
      </c>
      <c r="H47" s="5">
        <v>50.8</v>
      </c>
      <c r="I47" s="5">
        <v>0.93</v>
      </c>
      <c r="J47" s="5">
        <v>8.1300000000000008</v>
      </c>
      <c r="K47" s="5">
        <v>3.2949999999999999</v>
      </c>
      <c r="L47" s="5">
        <v>5.2151929841684996</v>
      </c>
      <c r="M47" s="5">
        <v>4.5934499999999989</v>
      </c>
      <c r="N47" s="5">
        <v>4.7031700000000001</v>
      </c>
      <c r="O47" s="5">
        <v>5</v>
      </c>
      <c r="P47" s="5">
        <f t="shared" si="0"/>
        <v>-1.7050000000000001</v>
      </c>
      <c r="Q47" s="5" t="s">
        <v>5</v>
      </c>
      <c r="R47" s="5">
        <v>-2.52</v>
      </c>
      <c r="S47" s="5">
        <v>0.23</v>
      </c>
      <c r="T47" s="5" t="s">
        <v>308</v>
      </c>
    </row>
    <row r="48" spans="1:20" ht="15" customHeight="1" x14ac:dyDescent="0.2">
      <c r="A48" s="5" t="s">
        <v>33</v>
      </c>
      <c r="B48" s="5" t="s">
        <v>35</v>
      </c>
      <c r="C48" s="5" t="s">
        <v>313</v>
      </c>
      <c r="D48" s="5" t="s">
        <v>34</v>
      </c>
      <c r="E48" s="5">
        <v>347.23600000210001</v>
      </c>
      <c r="F48" s="5">
        <v>2</v>
      </c>
      <c r="G48" s="5">
        <v>5</v>
      </c>
      <c r="H48" s="5">
        <v>61.8</v>
      </c>
      <c r="I48" s="5">
        <v>1.3</v>
      </c>
      <c r="J48" s="5">
        <v>8.9700000000000006</v>
      </c>
      <c r="K48" s="5">
        <v>4.1680000000000001</v>
      </c>
      <c r="L48" s="5">
        <v>4.1948199999894999</v>
      </c>
      <c r="M48" s="5">
        <v>3.2071896799535473</v>
      </c>
      <c r="N48" s="5">
        <v>4.4049170000000002</v>
      </c>
      <c r="O48" s="5">
        <v>5</v>
      </c>
      <c r="P48" s="5">
        <f t="shared" si="0"/>
        <v>-0.83199999999999985</v>
      </c>
      <c r="Q48" s="5" t="s">
        <v>5</v>
      </c>
      <c r="R48" s="5">
        <v>-3.12</v>
      </c>
      <c r="S48" s="5">
        <v>0.06</v>
      </c>
      <c r="T48" s="5" t="s">
        <v>309</v>
      </c>
    </row>
    <row r="49" spans="1:20" ht="15" customHeight="1" x14ac:dyDescent="0.2">
      <c r="A49" s="5" t="s">
        <v>127</v>
      </c>
      <c r="B49" s="5" t="s">
        <v>128</v>
      </c>
      <c r="C49" s="5" t="s">
        <v>313</v>
      </c>
      <c r="D49" s="5" t="s">
        <v>34</v>
      </c>
      <c r="E49" s="5">
        <v>245.36600000204996</v>
      </c>
      <c r="F49" s="5">
        <v>1</v>
      </c>
      <c r="G49" s="5">
        <v>2</v>
      </c>
      <c r="H49" s="5">
        <v>23.47</v>
      </c>
      <c r="I49" s="5">
        <v>1.21</v>
      </c>
      <c r="J49" s="5">
        <v>9.99</v>
      </c>
      <c r="K49" s="5">
        <v>3.714</v>
      </c>
      <c r="L49" s="5">
        <v>3.5714999999999995</v>
      </c>
      <c r="M49" s="5">
        <v>4</v>
      </c>
      <c r="N49" s="5">
        <v>5.4808190000000003</v>
      </c>
      <c r="O49" s="5">
        <v>2</v>
      </c>
      <c r="P49" s="5">
        <f t="shared" si="0"/>
        <v>1.714</v>
      </c>
      <c r="Q49" s="5" t="s">
        <v>5</v>
      </c>
      <c r="R49" s="5">
        <v>-1.4</v>
      </c>
      <c r="S49" s="5">
        <v>1.02</v>
      </c>
      <c r="T49" s="5" t="s">
        <v>308</v>
      </c>
    </row>
    <row r="50" spans="1:20" ht="15" customHeight="1" x14ac:dyDescent="0.2">
      <c r="A50" s="5" t="s">
        <v>190</v>
      </c>
      <c r="B50" s="5" t="s">
        <v>191</v>
      </c>
      <c r="C50" s="5" t="s">
        <v>313</v>
      </c>
      <c r="D50" s="5" t="s">
        <v>193</v>
      </c>
      <c r="E50" s="5">
        <v>325.40800000235004</v>
      </c>
      <c r="F50" s="5">
        <v>2</v>
      </c>
      <c r="G50" s="5">
        <v>4</v>
      </c>
      <c r="H50" s="5">
        <v>52.93</v>
      </c>
      <c r="I50" s="5">
        <v>3.42</v>
      </c>
      <c r="J50" s="5">
        <v>7.1</v>
      </c>
      <c r="K50" s="5">
        <v>3.5139999999999998</v>
      </c>
      <c r="L50" s="5">
        <v>4.4059599999882497</v>
      </c>
      <c r="M50" s="5">
        <v>3.4619750399480171</v>
      </c>
      <c r="N50" s="5">
        <v>4.9043760000000001</v>
      </c>
      <c r="O50" s="5">
        <v>4</v>
      </c>
      <c r="P50" s="5">
        <f t="shared" si="0"/>
        <v>-0.48600000000000021</v>
      </c>
      <c r="Q50" s="5" t="s">
        <v>5</v>
      </c>
      <c r="R50" s="5">
        <v>-2.04</v>
      </c>
      <c r="S50" s="5">
        <v>0.7</v>
      </c>
      <c r="T50" s="5" t="s">
        <v>307</v>
      </c>
    </row>
    <row r="51" spans="1:20" ht="15" customHeight="1" x14ac:dyDescent="0.2">
      <c r="A51" s="5" t="s">
        <v>192</v>
      </c>
      <c r="B51" s="5" t="s">
        <v>194</v>
      </c>
      <c r="C51" s="5" t="s">
        <v>313</v>
      </c>
      <c r="D51" s="5" t="s">
        <v>193</v>
      </c>
      <c r="E51" s="5">
        <v>295.38200000214994</v>
      </c>
      <c r="F51" s="5">
        <v>2</v>
      </c>
      <c r="G51" s="5">
        <v>3</v>
      </c>
      <c r="H51" s="5">
        <v>43.7</v>
      </c>
      <c r="I51" s="5">
        <v>3.27</v>
      </c>
      <c r="J51" s="5">
        <v>7.96</v>
      </c>
      <c r="K51" s="5">
        <v>3.548</v>
      </c>
      <c r="L51" s="5">
        <v>4.5910000000000002</v>
      </c>
      <c r="M51" s="5">
        <v>3.6154000000000002</v>
      </c>
      <c r="N51" s="5">
        <v>5.2635370000000004</v>
      </c>
      <c r="O51" s="5">
        <v>3</v>
      </c>
      <c r="P51" s="5">
        <f t="shared" si="0"/>
        <v>0.54800000000000004</v>
      </c>
      <c r="Q51" s="5" t="s">
        <v>5</v>
      </c>
      <c r="R51" s="5">
        <v>-2.2000000000000002</v>
      </c>
      <c r="S51" s="5">
        <v>0.75</v>
      </c>
      <c r="T51" s="5" t="s">
        <v>307</v>
      </c>
    </row>
    <row r="52" spans="1:20" ht="15" customHeight="1" x14ac:dyDescent="0.2">
      <c r="A52" s="5" t="s">
        <v>176</v>
      </c>
      <c r="B52" s="5" t="s">
        <v>178</v>
      </c>
      <c r="C52" s="5" t="s">
        <v>314</v>
      </c>
      <c r="D52" s="5" t="s">
        <v>177</v>
      </c>
      <c r="E52" s="5">
        <v>423.55700000319996</v>
      </c>
      <c r="F52" s="5">
        <v>1</v>
      </c>
      <c r="G52" s="5">
        <v>6</v>
      </c>
      <c r="H52" s="5">
        <v>54.04</v>
      </c>
      <c r="I52" s="5">
        <v>2.9</v>
      </c>
      <c r="J52" s="5">
        <v>7.9</v>
      </c>
      <c r="K52" s="5">
        <v>3.8519999999999999</v>
      </c>
      <c r="L52" s="5">
        <v>4.2562149999840004</v>
      </c>
      <c r="M52" s="5">
        <v>3.6934999999999998</v>
      </c>
      <c r="N52" s="5">
        <v>4.8471440000000001</v>
      </c>
      <c r="O52" s="5">
        <v>6</v>
      </c>
      <c r="P52" s="5">
        <f t="shared" si="0"/>
        <v>-2.1480000000000001</v>
      </c>
      <c r="Q52" s="5" t="s">
        <v>147</v>
      </c>
      <c r="R52" s="5">
        <v>-2.88</v>
      </c>
      <c r="S52" s="5">
        <v>0.02</v>
      </c>
      <c r="T52" s="5" t="s">
        <v>310</v>
      </c>
    </row>
    <row r="53" spans="1:20" ht="15" customHeight="1" x14ac:dyDescent="0.2">
      <c r="A53" s="5" t="s">
        <v>21</v>
      </c>
      <c r="B53" s="5" t="s">
        <v>23</v>
      </c>
      <c r="C53" s="5" t="s">
        <v>313</v>
      </c>
      <c r="D53" s="5" t="s">
        <v>22</v>
      </c>
      <c r="E53" s="5">
        <v>277.33940316554998</v>
      </c>
      <c r="F53" s="5">
        <v>0</v>
      </c>
      <c r="G53" s="5">
        <v>3</v>
      </c>
      <c r="H53" s="5">
        <v>29.54</v>
      </c>
      <c r="I53" s="5">
        <v>1.35</v>
      </c>
      <c r="J53" s="5">
        <v>8.8000000000000007</v>
      </c>
      <c r="K53" s="5">
        <v>2.964</v>
      </c>
      <c r="L53" s="5">
        <v>5.077</v>
      </c>
      <c r="M53" s="5">
        <v>3.3019999999999996</v>
      </c>
      <c r="N53" s="5">
        <v>5.4161149999999996</v>
      </c>
      <c r="O53" s="5">
        <v>3</v>
      </c>
      <c r="P53" s="5">
        <f t="shared" si="0"/>
        <v>-3.6000000000000032E-2</v>
      </c>
      <c r="Q53" s="5" t="s">
        <v>5</v>
      </c>
      <c r="R53" s="5">
        <v>-2.57</v>
      </c>
      <c r="S53" s="5">
        <v>0.53</v>
      </c>
      <c r="T53" s="5" t="s">
        <v>308</v>
      </c>
    </row>
    <row r="54" spans="1:20" ht="15" customHeight="1" x14ac:dyDescent="0.2">
      <c r="A54" s="5" t="s">
        <v>63</v>
      </c>
      <c r="B54" s="5" t="s">
        <v>64</v>
      </c>
      <c r="C54" s="5" t="s">
        <v>313</v>
      </c>
      <c r="D54" s="5" t="s">
        <v>22</v>
      </c>
      <c r="E54" s="5">
        <v>425.31047000234997</v>
      </c>
      <c r="F54" s="5">
        <v>0</v>
      </c>
      <c r="G54" s="5">
        <v>3</v>
      </c>
      <c r="H54" s="5">
        <v>29.54</v>
      </c>
      <c r="I54" s="5">
        <v>3.88</v>
      </c>
      <c r="J54" s="5">
        <v>8.01</v>
      </c>
      <c r="K54" s="5">
        <v>4.867</v>
      </c>
      <c r="L54" s="5">
        <v>2.97194764998825</v>
      </c>
      <c r="M54" s="5">
        <v>2.6456499999999998</v>
      </c>
      <c r="N54" s="5">
        <v>5.3776630000000001</v>
      </c>
      <c r="O54" s="5">
        <v>3</v>
      </c>
      <c r="P54" s="5">
        <f t="shared" si="0"/>
        <v>1.867</v>
      </c>
      <c r="Q54" s="5" t="s">
        <v>147</v>
      </c>
      <c r="R54" s="5">
        <v>-1.63</v>
      </c>
      <c r="S54" s="5">
        <v>1.41</v>
      </c>
      <c r="T54" s="5" t="s">
        <v>309</v>
      </c>
    </row>
    <row r="55" spans="1:20" ht="15" customHeight="1" x14ac:dyDescent="0.2">
      <c r="A55" s="5" t="s">
        <v>135</v>
      </c>
      <c r="B55" s="5" t="s">
        <v>136</v>
      </c>
      <c r="C55" s="5" t="s">
        <v>313</v>
      </c>
      <c r="D55" s="5" t="s">
        <v>22</v>
      </c>
      <c r="E55" s="5">
        <v>325.80840316569999</v>
      </c>
      <c r="F55" s="5">
        <v>0</v>
      </c>
      <c r="G55" s="5">
        <v>3</v>
      </c>
      <c r="H55" s="5">
        <v>29.54</v>
      </c>
      <c r="I55" s="5">
        <v>2.44</v>
      </c>
      <c r="J55" s="5">
        <v>8.18</v>
      </c>
      <c r="K55" s="5">
        <v>3.786</v>
      </c>
      <c r="L55" s="5">
        <v>4.6449579841715005</v>
      </c>
      <c r="M55" s="5">
        <v>3.4268581219747163</v>
      </c>
      <c r="N55" s="5">
        <v>5.2972169999999998</v>
      </c>
      <c r="O55" s="5">
        <v>3</v>
      </c>
      <c r="P55" s="5">
        <f t="shared" si="0"/>
        <v>0.78600000000000003</v>
      </c>
      <c r="Q55" s="5" t="s">
        <v>5</v>
      </c>
      <c r="R55" s="5">
        <v>-1.96</v>
      </c>
      <c r="S55" s="5">
        <v>0.67</v>
      </c>
      <c r="T55" s="5" t="s">
        <v>308</v>
      </c>
    </row>
    <row r="56" spans="1:20" ht="15" customHeight="1" x14ac:dyDescent="0.2">
      <c r="A56" s="5" t="s">
        <v>219</v>
      </c>
      <c r="B56" s="5" t="s">
        <v>221</v>
      </c>
      <c r="C56" s="5" t="s">
        <v>313</v>
      </c>
      <c r="D56" s="5" t="s">
        <v>220</v>
      </c>
      <c r="E56" s="5">
        <v>394.51500000294993</v>
      </c>
      <c r="F56" s="5">
        <v>0</v>
      </c>
      <c r="G56" s="5">
        <v>5</v>
      </c>
      <c r="H56" s="5">
        <v>49.85</v>
      </c>
      <c r="I56" s="5">
        <v>3.21</v>
      </c>
      <c r="J56" s="5">
        <v>7.76</v>
      </c>
      <c r="K56" s="5">
        <v>3.6859999999999999</v>
      </c>
      <c r="L56" s="5">
        <v>4.5794249999852505</v>
      </c>
      <c r="M56" s="5">
        <v>3.7544</v>
      </c>
      <c r="N56" s="5">
        <v>4.9824619999999999</v>
      </c>
      <c r="O56" s="5">
        <v>5</v>
      </c>
      <c r="P56" s="5">
        <f t="shared" si="0"/>
        <v>-1.3140000000000001</v>
      </c>
      <c r="Q56" s="5" t="s">
        <v>5</v>
      </c>
      <c r="R56" s="5">
        <v>-2.29</v>
      </c>
      <c r="S56" s="5">
        <v>0.44</v>
      </c>
      <c r="T56" s="5" t="s">
        <v>307</v>
      </c>
    </row>
    <row r="57" spans="1:20" ht="15" customHeight="1" x14ac:dyDescent="0.2">
      <c r="A57" s="5" t="s">
        <v>260</v>
      </c>
      <c r="B57" s="5" t="s">
        <v>262</v>
      </c>
      <c r="C57" s="5" t="s">
        <v>313</v>
      </c>
      <c r="D57" s="5" t="s">
        <v>261</v>
      </c>
      <c r="E57" s="5">
        <v>431.28987316585</v>
      </c>
      <c r="F57" s="5">
        <v>0</v>
      </c>
      <c r="G57" s="5">
        <v>3</v>
      </c>
      <c r="H57" s="5">
        <v>29.54</v>
      </c>
      <c r="I57" s="5">
        <v>2.83</v>
      </c>
      <c r="J57" s="5">
        <v>8.56</v>
      </c>
      <c r="K57" s="5">
        <v>4.4249999999999998</v>
      </c>
      <c r="L57" s="5">
        <v>3.4130506341707498</v>
      </c>
      <c r="M57" s="5">
        <v>2.4063999999999997</v>
      </c>
      <c r="N57" s="5">
        <v>5.4011189999999996</v>
      </c>
      <c r="O57" s="5">
        <v>3</v>
      </c>
      <c r="P57" s="5">
        <f t="shared" si="0"/>
        <v>1.4249999999999998</v>
      </c>
      <c r="Q57" s="5" t="s">
        <v>147</v>
      </c>
      <c r="R57" s="5">
        <v>-1.7</v>
      </c>
      <c r="S57" s="5">
        <v>1.23</v>
      </c>
      <c r="T57" s="5" t="s">
        <v>308</v>
      </c>
    </row>
    <row r="58" spans="1:20" ht="15" customHeight="1" x14ac:dyDescent="0.2">
      <c r="A58" s="5" t="s">
        <v>263</v>
      </c>
      <c r="B58" s="5" t="s">
        <v>264</v>
      </c>
      <c r="C58" s="5" t="s">
        <v>313</v>
      </c>
      <c r="D58" s="5" t="s">
        <v>261</v>
      </c>
      <c r="E58" s="5">
        <v>457.32787316604998</v>
      </c>
      <c r="F58" s="5">
        <v>0</v>
      </c>
      <c r="G58" s="5">
        <v>3</v>
      </c>
      <c r="H58" s="5">
        <v>29.54</v>
      </c>
      <c r="I58" s="5">
        <v>3.87</v>
      </c>
      <c r="J58" s="5">
        <v>7.93</v>
      </c>
      <c r="K58" s="5">
        <v>5.1189999999999998</v>
      </c>
      <c r="L58" s="5">
        <v>2.7553606341697501</v>
      </c>
      <c r="M58" s="5">
        <v>1.68045</v>
      </c>
      <c r="N58" s="5">
        <v>5.3341710000000004</v>
      </c>
      <c r="O58" s="5">
        <v>3</v>
      </c>
      <c r="P58" s="5">
        <f t="shared" si="0"/>
        <v>2.1189999999999998</v>
      </c>
      <c r="Q58" s="5" t="s">
        <v>147</v>
      </c>
      <c r="R58" s="5">
        <v>-1.54</v>
      </c>
      <c r="S58" s="5">
        <v>1.46</v>
      </c>
      <c r="T58" s="5" t="s">
        <v>309</v>
      </c>
    </row>
    <row r="59" spans="1:20" ht="15" customHeight="1" x14ac:dyDescent="0.2">
      <c r="A59" s="5" t="s">
        <v>265</v>
      </c>
      <c r="B59" s="5" t="s">
        <v>266</v>
      </c>
      <c r="C59" s="5" t="s">
        <v>313</v>
      </c>
      <c r="D59" s="5" t="s">
        <v>261</v>
      </c>
      <c r="E59" s="5">
        <v>443.30087316589999</v>
      </c>
      <c r="F59" s="5">
        <v>0</v>
      </c>
      <c r="G59" s="5">
        <v>3</v>
      </c>
      <c r="H59" s="5">
        <v>29.54</v>
      </c>
      <c r="I59" s="5">
        <v>3.77</v>
      </c>
      <c r="J59" s="5">
        <v>8.07</v>
      </c>
      <c r="K59" s="5">
        <v>5.04</v>
      </c>
      <c r="L59" s="5">
        <v>2.8404956341704999</v>
      </c>
      <c r="M59" s="5">
        <v>1.6195499999999998</v>
      </c>
      <c r="N59" s="5">
        <v>5.3664670000000001</v>
      </c>
      <c r="O59" s="5">
        <v>3</v>
      </c>
      <c r="P59" s="5">
        <f t="shared" si="0"/>
        <v>2.04</v>
      </c>
      <c r="Q59" s="5" t="s">
        <v>147</v>
      </c>
      <c r="R59" s="5">
        <v>-1.63</v>
      </c>
      <c r="S59" s="5">
        <v>1.4</v>
      </c>
      <c r="T59" s="5" t="s">
        <v>309</v>
      </c>
    </row>
    <row r="60" spans="1:20" ht="15" customHeight="1" x14ac:dyDescent="0.2">
      <c r="A60" s="5" t="s">
        <v>230</v>
      </c>
      <c r="B60" s="5" t="s">
        <v>233</v>
      </c>
      <c r="C60" s="5" t="s">
        <v>313</v>
      </c>
      <c r="D60" s="5" t="s">
        <v>231</v>
      </c>
      <c r="E60" s="5">
        <v>303.29340316534996</v>
      </c>
      <c r="F60" s="5">
        <v>0</v>
      </c>
      <c r="G60" s="5">
        <v>6</v>
      </c>
      <c r="H60" s="5">
        <v>64.430000000000007</v>
      </c>
      <c r="I60" s="5">
        <v>1</v>
      </c>
      <c r="J60" s="5">
        <v>0.86</v>
      </c>
      <c r="K60" s="5">
        <v>1.2909999999999999</v>
      </c>
      <c r="L60" s="5">
        <v>5.9835329841732499</v>
      </c>
      <c r="M60" s="5">
        <v>4.9538519999999995</v>
      </c>
      <c r="N60" s="5">
        <v>4.3430289999999996</v>
      </c>
      <c r="O60" s="5">
        <v>6</v>
      </c>
      <c r="P60" s="5">
        <f t="shared" si="0"/>
        <v>-4.7089999999999996</v>
      </c>
      <c r="Q60" s="5" t="s">
        <v>5</v>
      </c>
      <c r="R60" s="5">
        <v>-2.36</v>
      </c>
      <c r="S60" s="5">
        <v>-0.1</v>
      </c>
      <c r="T60" s="5" t="s">
        <v>308</v>
      </c>
    </row>
    <row r="61" spans="1:20" ht="15" customHeight="1" x14ac:dyDescent="0.2">
      <c r="A61" s="5" t="s">
        <v>267</v>
      </c>
      <c r="B61" s="5" t="s">
        <v>269</v>
      </c>
      <c r="C61" s="5" t="s">
        <v>313</v>
      </c>
      <c r="D61" s="5" t="s">
        <v>268</v>
      </c>
      <c r="E61" s="5">
        <v>497.52920949365</v>
      </c>
      <c r="F61" s="5">
        <v>0</v>
      </c>
      <c r="G61" s="5">
        <v>6</v>
      </c>
      <c r="H61" s="5">
        <v>81.290000000000006</v>
      </c>
      <c r="I61" s="5">
        <v>3.1</v>
      </c>
      <c r="J61" s="5">
        <v>-2.11</v>
      </c>
      <c r="K61" s="5">
        <v>3.1080000000000001</v>
      </c>
      <c r="L61" s="5">
        <v>4.4083539525317494</v>
      </c>
      <c r="M61" s="5">
        <v>3.2187559999999995</v>
      </c>
      <c r="N61" s="5">
        <v>3.669076</v>
      </c>
      <c r="O61" s="5">
        <v>6</v>
      </c>
      <c r="P61" s="5">
        <f t="shared" si="0"/>
        <v>-2.8919999999999999</v>
      </c>
      <c r="Q61" s="5" t="s">
        <v>147</v>
      </c>
      <c r="R61" s="5">
        <v>-2.6</v>
      </c>
      <c r="S61" s="5">
        <v>-0.12</v>
      </c>
      <c r="T61" s="5" t="s">
        <v>310</v>
      </c>
    </row>
    <row r="62" spans="1:20" ht="15" customHeight="1" x14ac:dyDescent="0.2">
      <c r="A62" s="5" t="s">
        <v>153</v>
      </c>
      <c r="B62" s="5" t="s">
        <v>155</v>
      </c>
      <c r="C62" s="5" t="s">
        <v>314</v>
      </c>
      <c r="D62" s="5" t="s">
        <v>154</v>
      </c>
      <c r="E62" s="5">
        <v>350.50600000279996</v>
      </c>
      <c r="F62" s="5">
        <v>1</v>
      </c>
      <c r="G62" s="5">
        <v>3</v>
      </c>
      <c r="H62" s="5">
        <v>32.340000000000003</v>
      </c>
      <c r="I62" s="5">
        <v>3.96</v>
      </c>
      <c r="J62" s="5">
        <v>8.1300000000000008</v>
      </c>
      <c r="K62" s="5">
        <v>4.6959999999999997</v>
      </c>
      <c r="L62" s="5">
        <v>3.2214699999860001</v>
      </c>
      <c r="M62" s="5">
        <v>2.6326499999999995</v>
      </c>
      <c r="N62" s="5">
        <v>5.4695720000000003</v>
      </c>
      <c r="O62" s="5">
        <v>3</v>
      </c>
      <c r="P62" s="5">
        <f t="shared" si="0"/>
        <v>1.6959999999999997</v>
      </c>
      <c r="Q62" s="5" t="s">
        <v>5</v>
      </c>
      <c r="R62" s="5">
        <v>-2.0699999999999998</v>
      </c>
      <c r="S62" s="5">
        <v>1.21</v>
      </c>
      <c r="T62" s="5" t="s">
        <v>307</v>
      </c>
    </row>
    <row r="63" spans="1:20" ht="15" customHeight="1" x14ac:dyDescent="0.2">
      <c r="A63" s="5" t="s">
        <v>65</v>
      </c>
      <c r="B63" s="5" t="s">
        <v>67</v>
      </c>
      <c r="C63" s="5" t="s">
        <v>313</v>
      </c>
      <c r="D63" s="5" t="s">
        <v>66</v>
      </c>
      <c r="E63" s="5">
        <v>351.45000000254998</v>
      </c>
      <c r="F63" s="5">
        <v>1</v>
      </c>
      <c r="G63" s="5">
        <v>5</v>
      </c>
      <c r="H63" s="5">
        <v>54.46</v>
      </c>
      <c r="I63" s="5">
        <v>1.22</v>
      </c>
      <c r="J63" s="5">
        <v>9.01</v>
      </c>
      <c r="K63" s="5">
        <v>3.2669999999999999</v>
      </c>
      <c r="L63" s="5">
        <v>4.8542499999872497</v>
      </c>
      <c r="M63" s="5">
        <v>4.2106500000000002</v>
      </c>
      <c r="N63" s="5">
        <v>4.9161460000000003</v>
      </c>
      <c r="O63" s="5">
        <v>5</v>
      </c>
      <c r="P63" s="5">
        <f t="shared" si="0"/>
        <v>-1.7330000000000001</v>
      </c>
      <c r="Q63" s="5" t="s">
        <v>5</v>
      </c>
      <c r="R63" s="5">
        <v>-2.27</v>
      </c>
      <c r="S63" s="5">
        <v>0.73</v>
      </c>
      <c r="T63" s="5" t="s">
        <v>311</v>
      </c>
    </row>
    <row r="64" spans="1:20" ht="15" customHeight="1" x14ac:dyDescent="0.2">
      <c r="A64" s="5" t="s">
        <v>195</v>
      </c>
      <c r="B64" s="5" t="s">
        <v>196</v>
      </c>
      <c r="C64" s="5" t="s">
        <v>313</v>
      </c>
      <c r="D64" s="5" t="s">
        <v>342</v>
      </c>
      <c r="E64" s="5">
        <v>279.38300000209995</v>
      </c>
      <c r="F64" s="5">
        <v>0</v>
      </c>
      <c r="G64" s="5">
        <v>2</v>
      </c>
      <c r="H64" s="5">
        <v>12.47</v>
      </c>
      <c r="I64" s="5">
        <v>2.5</v>
      </c>
      <c r="J64" s="5">
        <v>9.19</v>
      </c>
      <c r="K64" s="5">
        <v>4.0919999999999996</v>
      </c>
      <c r="L64" s="5">
        <v>3.6090000000000004</v>
      </c>
      <c r="M64" s="5">
        <v>3.4798500000000003</v>
      </c>
      <c r="N64" s="5">
        <v>5.4764670000000004</v>
      </c>
      <c r="O64" s="5">
        <v>2</v>
      </c>
      <c r="P64" s="5">
        <f t="shared" si="0"/>
        <v>2.0919999999999996</v>
      </c>
      <c r="Q64" s="5" t="s">
        <v>5</v>
      </c>
      <c r="R64" s="5">
        <v>-1.87</v>
      </c>
      <c r="S64" s="5">
        <v>0.61</v>
      </c>
      <c r="T64" s="5" t="s">
        <v>310</v>
      </c>
    </row>
    <row r="65" spans="1:20" ht="15" customHeight="1" x14ac:dyDescent="0.2">
      <c r="A65" s="5" t="s">
        <v>197</v>
      </c>
      <c r="B65" s="5" t="s">
        <v>198</v>
      </c>
      <c r="C65" s="5" t="s">
        <v>313</v>
      </c>
      <c r="D65" s="5" t="s">
        <v>66</v>
      </c>
      <c r="E65" s="5">
        <v>420.5216067225</v>
      </c>
      <c r="F65" s="5">
        <v>0</v>
      </c>
      <c r="G65" s="5">
        <v>6</v>
      </c>
      <c r="H65" s="5">
        <v>59.08</v>
      </c>
      <c r="I65" s="5">
        <v>2.23</v>
      </c>
      <c r="J65" s="5">
        <v>8.8800000000000008</v>
      </c>
      <c r="K65" s="5">
        <v>2.9369999999999998</v>
      </c>
      <c r="L65" s="5">
        <v>4.8423919663874999</v>
      </c>
      <c r="M65" s="5">
        <v>2.8601299999999994</v>
      </c>
      <c r="N65" s="5">
        <v>4.4548519999999998</v>
      </c>
      <c r="O65" s="5">
        <v>6</v>
      </c>
      <c r="P65" s="5">
        <f t="shared" si="0"/>
        <v>-3.0630000000000002</v>
      </c>
      <c r="Q65" s="5" t="s">
        <v>147</v>
      </c>
      <c r="R65" s="5">
        <v>-2.29</v>
      </c>
      <c r="S65" s="5">
        <v>0.69</v>
      </c>
      <c r="T65" s="5" t="s">
        <v>308</v>
      </c>
    </row>
    <row r="66" spans="1:20" ht="15" customHeight="1" x14ac:dyDescent="0.2">
      <c r="A66" s="5" t="s">
        <v>228</v>
      </c>
      <c r="B66" s="5" t="s">
        <v>229</v>
      </c>
      <c r="C66" s="5" t="s">
        <v>313</v>
      </c>
      <c r="D66" s="5" t="s">
        <v>343</v>
      </c>
      <c r="E66" s="5">
        <v>199.25700000139997</v>
      </c>
      <c r="F66" s="5">
        <v>1</v>
      </c>
      <c r="G66" s="5">
        <v>3</v>
      </c>
      <c r="H66" s="5">
        <v>29.32</v>
      </c>
      <c r="I66" s="5">
        <v>-0.19</v>
      </c>
      <c r="J66" s="5">
        <v>10.57</v>
      </c>
      <c r="K66" s="5">
        <v>3.0990000000000002</v>
      </c>
      <c r="L66" s="5">
        <v>4.1665000000000001</v>
      </c>
      <c r="M66" s="5">
        <v>4</v>
      </c>
      <c r="N66" s="5">
        <v>5.3696679999999999</v>
      </c>
      <c r="O66" s="5">
        <v>3</v>
      </c>
      <c r="P66" s="5">
        <f t="shared" si="0"/>
        <v>9.9000000000000199E-2</v>
      </c>
      <c r="Q66" s="5" t="s">
        <v>5</v>
      </c>
      <c r="R66" s="5">
        <v>-2.98</v>
      </c>
      <c r="S66" s="5">
        <v>-0.18</v>
      </c>
      <c r="T66" s="5" t="s">
        <v>308</v>
      </c>
    </row>
    <row r="67" spans="1:20" ht="15" customHeight="1" x14ac:dyDescent="0.2">
      <c r="A67" s="5" t="s">
        <v>95</v>
      </c>
      <c r="B67" s="5" t="s">
        <v>225</v>
      </c>
      <c r="C67" s="5" t="s">
        <v>313</v>
      </c>
      <c r="D67" s="5" t="s">
        <v>96</v>
      </c>
      <c r="E67" s="5">
        <v>400.30000000245002</v>
      </c>
      <c r="F67" s="5">
        <v>0</v>
      </c>
      <c r="G67" s="5">
        <v>6</v>
      </c>
      <c r="H67" s="5">
        <v>53.09</v>
      </c>
      <c r="I67" s="5">
        <v>3.48</v>
      </c>
      <c r="J67" s="5">
        <v>6.85</v>
      </c>
      <c r="K67" s="5">
        <v>4.2750000000000004</v>
      </c>
      <c r="L67" s="5">
        <v>4.1209999999877498</v>
      </c>
      <c r="M67" s="5">
        <v>4</v>
      </c>
      <c r="N67" s="5">
        <v>4.8527129999999996</v>
      </c>
      <c r="O67" s="5">
        <v>6</v>
      </c>
      <c r="P67" s="5">
        <f t="shared" ref="P67:P129" si="1">K67-O67</f>
        <v>-1.7249999999999996</v>
      </c>
      <c r="Q67" s="5" t="s">
        <v>5</v>
      </c>
      <c r="R67" s="5">
        <v>-1.78</v>
      </c>
      <c r="S67" s="5">
        <v>0.85</v>
      </c>
      <c r="T67" s="5" t="s">
        <v>308</v>
      </c>
    </row>
    <row r="68" spans="1:20" ht="15" customHeight="1" x14ac:dyDescent="0.2">
      <c r="A68" s="5" t="s">
        <v>226</v>
      </c>
      <c r="B68" s="5" t="s">
        <v>227</v>
      </c>
      <c r="C68" s="5" t="s">
        <v>313</v>
      </c>
      <c r="D68" s="5" t="s">
        <v>96</v>
      </c>
      <c r="E68" s="5">
        <v>407.89800000255002</v>
      </c>
      <c r="F68" s="5">
        <v>2</v>
      </c>
      <c r="G68" s="5">
        <v>5</v>
      </c>
      <c r="H68" s="5">
        <v>68.45</v>
      </c>
      <c r="I68" s="5">
        <v>2.87</v>
      </c>
      <c r="J68" s="5">
        <v>7.11</v>
      </c>
      <c r="K68" s="5">
        <v>3.8330000000000002</v>
      </c>
      <c r="L68" s="5">
        <v>4.1090099999872498</v>
      </c>
      <c r="M68" s="5">
        <v>2.7785799999999998</v>
      </c>
      <c r="N68" s="5">
        <v>4.1260130000000004</v>
      </c>
      <c r="O68" s="5">
        <v>5</v>
      </c>
      <c r="P68" s="5">
        <f t="shared" si="1"/>
        <v>-1.1669999999999998</v>
      </c>
      <c r="Q68" s="5" t="s">
        <v>147</v>
      </c>
      <c r="R68" s="5">
        <v>-2.5499999999999998</v>
      </c>
      <c r="S68" s="5">
        <v>0.23</v>
      </c>
      <c r="T68" s="5" t="s">
        <v>310</v>
      </c>
    </row>
    <row r="69" spans="1:20" ht="15" customHeight="1" x14ac:dyDescent="0.2">
      <c r="A69" s="5" t="s">
        <v>95</v>
      </c>
      <c r="B69" s="5" t="s">
        <v>97</v>
      </c>
      <c r="C69" s="5" t="s">
        <v>313</v>
      </c>
      <c r="D69" s="5" t="s">
        <v>96</v>
      </c>
      <c r="E69" s="5">
        <v>414.3270000025999</v>
      </c>
      <c r="F69" s="5">
        <v>0</v>
      </c>
      <c r="G69" s="5">
        <v>6</v>
      </c>
      <c r="H69" s="5">
        <v>53.09</v>
      </c>
      <c r="I69" s="5">
        <v>2.27</v>
      </c>
      <c r="J69" s="5">
        <v>8.8800000000000008</v>
      </c>
      <c r="K69" s="5">
        <v>4.17</v>
      </c>
      <c r="L69" s="5">
        <v>4.2683649999869999</v>
      </c>
      <c r="M69" s="5">
        <v>3.8237699999999997</v>
      </c>
      <c r="N69" s="5">
        <v>4.8564850000000002</v>
      </c>
      <c r="O69" s="5">
        <v>6</v>
      </c>
      <c r="P69" s="5">
        <f t="shared" si="1"/>
        <v>-1.83</v>
      </c>
      <c r="Q69" s="5" t="s">
        <v>147</v>
      </c>
      <c r="R69" s="5">
        <v>-2.27</v>
      </c>
      <c r="S69" s="5">
        <v>0.79</v>
      </c>
      <c r="T69" s="5" t="s">
        <v>308</v>
      </c>
    </row>
    <row r="70" spans="1:20" ht="15" customHeight="1" x14ac:dyDescent="0.2">
      <c r="A70" s="5" t="s">
        <v>56</v>
      </c>
      <c r="B70" s="5" t="s">
        <v>58</v>
      </c>
      <c r="C70" s="5" t="s">
        <v>313</v>
      </c>
      <c r="D70" s="5" t="s">
        <v>57</v>
      </c>
      <c r="E70" s="5">
        <v>273.38840316519997</v>
      </c>
      <c r="F70" s="5">
        <v>0</v>
      </c>
      <c r="G70" s="5">
        <v>3</v>
      </c>
      <c r="H70" s="5">
        <v>82.56</v>
      </c>
      <c r="I70" s="5">
        <v>1.98</v>
      </c>
      <c r="J70" s="5">
        <v>7.4</v>
      </c>
      <c r="K70" s="5">
        <v>2.4140000000000001</v>
      </c>
      <c r="L70" s="5">
        <v>6</v>
      </c>
      <c r="M70" s="5">
        <v>3.8945639999999995</v>
      </c>
      <c r="N70" s="5">
        <v>5.3978029999999997</v>
      </c>
      <c r="O70" s="5">
        <v>3</v>
      </c>
      <c r="P70" s="5">
        <f t="shared" si="1"/>
        <v>-0.58599999999999985</v>
      </c>
      <c r="Q70" s="5" t="s">
        <v>5</v>
      </c>
      <c r="R70" s="5">
        <v>-1.3</v>
      </c>
      <c r="S70" s="5">
        <v>0.31</v>
      </c>
      <c r="T70" s="5" t="s">
        <v>308</v>
      </c>
    </row>
    <row r="71" spans="1:20" ht="15" customHeight="1" x14ac:dyDescent="0.2">
      <c r="A71" s="5" t="s">
        <v>53</v>
      </c>
      <c r="B71" s="5" t="s">
        <v>55</v>
      </c>
      <c r="C71" s="5" t="s">
        <v>313</v>
      </c>
      <c r="D71" s="5" t="s">
        <v>54</v>
      </c>
      <c r="E71" s="5">
        <v>212.25200000139995</v>
      </c>
      <c r="F71" s="5">
        <v>1</v>
      </c>
      <c r="G71" s="5">
        <v>3</v>
      </c>
      <c r="H71" s="5">
        <v>37.909999999999997</v>
      </c>
      <c r="I71" s="5">
        <v>2.63</v>
      </c>
      <c r="J71" s="5">
        <v>7.36</v>
      </c>
      <c r="K71" s="5">
        <v>3.129</v>
      </c>
      <c r="L71" s="5">
        <v>5.266</v>
      </c>
      <c r="M71" s="5">
        <v>4.6425299999999998</v>
      </c>
      <c r="N71" s="5">
        <v>5.2592800000000004</v>
      </c>
      <c r="O71" s="5">
        <v>3</v>
      </c>
      <c r="P71" s="5">
        <f t="shared" si="1"/>
        <v>0.129</v>
      </c>
      <c r="Q71" s="5" t="s">
        <v>5</v>
      </c>
      <c r="R71" s="5">
        <v>-2.56</v>
      </c>
      <c r="S71" s="5">
        <v>-0.19</v>
      </c>
      <c r="T71" s="5" t="s">
        <v>310</v>
      </c>
    </row>
    <row r="72" spans="1:20" ht="15" customHeight="1" x14ac:dyDescent="0.2">
      <c r="A72" s="5" t="s">
        <v>124</v>
      </c>
      <c r="B72" s="5" t="s">
        <v>126</v>
      </c>
      <c r="C72" s="5" t="s">
        <v>313</v>
      </c>
      <c r="D72" s="5" t="s">
        <v>125</v>
      </c>
      <c r="E72" s="5">
        <v>187.28600000154998</v>
      </c>
      <c r="F72" s="5">
        <v>0</v>
      </c>
      <c r="G72" s="5">
        <v>1</v>
      </c>
      <c r="H72" s="5">
        <v>3.24</v>
      </c>
      <c r="I72" s="5">
        <v>2.5099999999999998</v>
      </c>
      <c r="J72" s="5">
        <v>7.53</v>
      </c>
      <c r="K72" s="5">
        <v>2.8439999999999999</v>
      </c>
      <c r="L72" s="5">
        <v>4.7450000000000001</v>
      </c>
      <c r="M72" s="5">
        <v>3.19286</v>
      </c>
      <c r="N72" s="5">
        <v>4.9040939999999997</v>
      </c>
      <c r="O72" s="5">
        <v>1</v>
      </c>
      <c r="P72" s="5">
        <f t="shared" si="1"/>
        <v>1.8439999999999999</v>
      </c>
      <c r="Q72" s="5" t="s">
        <v>5</v>
      </c>
      <c r="R72" s="5">
        <v>-2.17</v>
      </c>
      <c r="S72" s="5">
        <v>0.09</v>
      </c>
      <c r="T72" s="5" t="s">
        <v>307</v>
      </c>
    </row>
    <row r="73" spans="1:20" ht="15" customHeight="1" x14ac:dyDescent="0.2">
      <c r="A73" s="5" t="s">
        <v>208</v>
      </c>
      <c r="B73" s="5" t="s">
        <v>210</v>
      </c>
      <c r="C73" s="5" t="s">
        <v>313</v>
      </c>
      <c r="D73" s="5" t="s">
        <v>209</v>
      </c>
      <c r="E73" s="5">
        <v>383.47000000239996</v>
      </c>
      <c r="F73" s="5">
        <v>1</v>
      </c>
      <c r="G73" s="5">
        <v>7</v>
      </c>
      <c r="H73" s="5">
        <v>108.48</v>
      </c>
      <c r="I73" s="5">
        <v>3.17</v>
      </c>
      <c r="J73" s="5">
        <v>3.07</v>
      </c>
      <c r="K73" s="5">
        <v>2.548</v>
      </c>
      <c r="L73" s="5">
        <v>4.1352659999879995</v>
      </c>
      <c r="M73" s="5">
        <v>2</v>
      </c>
      <c r="N73" s="5">
        <v>3.646503</v>
      </c>
      <c r="O73" s="5">
        <v>7</v>
      </c>
      <c r="P73" s="5">
        <f t="shared" si="1"/>
        <v>-4.452</v>
      </c>
      <c r="Q73" s="5" t="s">
        <v>5</v>
      </c>
      <c r="R73" s="5">
        <v>-2.57</v>
      </c>
      <c r="S73" s="5">
        <v>0.08</v>
      </c>
      <c r="T73" s="5" t="s">
        <v>310</v>
      </c>
    </row>
    <row r="74" spans="1:20" ht="15" customHeight="1" x14ac:dyDescent="0.2">
      <c r="A74" s="5" t="s">
        <v>197</v>
      </c>
      <c r="B74" s="5" t="s">
        <v>211</v>
      </c>
      <c r="C74" s="5" t="s">
        <v>313</v>
      </c>
      <c r="D74" s="5" t="s">
        <v>209</v>
      </c>
      <c r="E74" s="5">
        <v>343.38040316544999</v>
      </c>
      <c r="F74" s="5">
        <v>1</v>
      </c>
      <c r="G74" s="5">
        <v>6</v>
      </c>
      <c r="H74" s="5">
        <v>99.25</v>
      </c>
      <c r="I74" s="5">
        <v>2.82</v>
      </c>
      <c r="J74" s="5">
        <v>3.07</v>
      </c>
      <c r="K74" s="5">
        <v>1.708</v>
      </c>
      <c r="L74" s="5">
        <v>4.8180729841727494</v>
      </c>
      <c r="M74" s="5">
        <v>2.0644254819802459</v>
      </c>
      <c r="N74" s="5">
        <v>4.222709</v>
      </c>
      <c r="O74" s="5">
        <v>6</v>
      </c>
      <c r="P74" s="5">
        <f t="shared" si="1"/>
        <v>-4.2919999999999998</v>
      </c>
      <c r="Q74" s="5" t="s">
        <v>5</v>
      </c>
      <c r="R74" s="5">
        <v>-2.59</v>
      </c>
      <c r="S74" s="5">
        <v>-0.11</v>
      </c>
      <c r="T74" s="5" t="s">
        <v>310</v>
      </c>
    </row>
    <row r="75" spans="1:20" ht="15" customHeight="1" x14ac:dyDescent="0.2">
      <c r="A75" s="5" t="s">
        <v>83</v>
      </c>
      <c r="B75" s="5" t="s">
        <v>85</v>
      </c>
      <c r="C75" s="5" t="s">
        <v>313</v>
      </c>
      <c r="D75" s="5" t="s">
        <v>84</v>
      </c>
      <c r="E75" s="5">
        <v>260.2618063283</v>
      </c>
      <c r="F75" s="5">
        <v>0</v>
      </c>
      <c r="G75" s="5">
        <v>2</v>
      </c>
      <c r="H75" s="5">
        <v>64.92</v>
      </c>
      <c r="I75" s="5">
        <v>2.72</v>
      </c>
      <c r="J75" s="5">
        <v>-0.11</v>
      </c>
      <c r="K75" s="5">
        <v>2.8220000000000001</v>
      </c>
      <c r="L75" s="5">
        <v>5.64</v>
      </c>
      <c r="M75" s="5">
        <v>4.0800079999999994</v>
      </c>
      <c r="N75" s="5">
        <v>4.869021</v>
      </c>
      <c r="O75" s="5">
        <v>2</v>
      </c>
      <c r="P75" s="5">
        <f t="shared" si="1"/>
        <v>0.82200000000000006</v>
      </c>
      <c r="Q75" s="5" t="s">
        <v>5</v>
      </c>
      <c r="R75" s="5">
        <v>-2.15</v>
      </c>
      <c r="S75" s="5">
        <v>-0.02</v>
      </c>
      <c r="T75" s="5" t="s">
        <v>307</v>
      </c>
    </row>
    <row r="76" spans="1:20" ht="15" customHeight="1" x14ac:dyDescent="0.2">
      <c r="A76" s="5" t="s">
        <v>86</v>
      </c>
      <c r="B76" s="5" t="s">
        <v>87</v>
      </c>
      <c r="C76" s="5" t="s">
        <v>313</v>
      </c>
      <c r="D76" s="5" t="s">
        <v>84</v>
      </c>
      <c r="E76" s="5">
        <v>240.30600000169997</v>
      </c>
      <c r="F76" s="5">
        <v>0</v>
      </c>
      <c r="G76" s="5">
        <v>3</v>
      </c>
      <c r="H76" s="5">
        <v>34.479999999999997</v>
      </c>
      <c r="I76" s="5">
        <v>3.2</v>
      </c>
      <c r="J76" s="5">
        <v>3.66</v>
      </c>
      <c r="K76" s="5">
        <v>2.4369999999999998</v>
      </c>
      <c r="L76" s="5">
        <v>5.1239999999999997</v>
      </c>
      <c r="M76" s="5">
        <v>3.2103999999999999</v>
      </c>
      <c r="N76" s="5">
        <v>4.9880990000000001</v>
      </c>
      <c r="O76" s="5">
        <v>3</v>
      </c>
      <c r="P76" s="5">
        <f t="shared" si="1"/>
        <v>-0.56300000000000017</v>
      </c>
      <c r="Q76" s="5" t="s">
        <v>5</v>
      </c>
      <c r="R76" s="5">
        <v>-2.15</v>
      </c>
      <c r="S76" s="5">
        <v>0.22</v>
      </c>
      <c r="T76" s="5" t="s">
        <v>310</v>
      </c>
    </row>
    <row r="77" spans="1:20" ht="15" customHeight="1" x14ac:dyDescent="0.2">
      <c r="A77" s="5" t="s">
        <v>212</v>
      </c>
      <c r="B77" s="5" t="s">
        <v>213</v>
      </c>
      <c r="C77" s="5" t="s">
        <v>313</v>
      </c>
      <c r="D77" s="5" t="s">
        <v>84</v>
      </c>
      <c r="E77" s="5">
        <v>222.22240316474995</v>
      </c>
      <c r="F77" s="5">
        <v>0</v>
      </c>
      <c r="G77" s="5">
        <v>2</v>
      </c>
      <c r="H77" s="5">
        <v>36.68</v>
      </c>
      <c r="I77" s="5">
        <v>2.9</v>
      </c>
      <c r="J77" s="5">
        <v>2.95</v>
      </c>
      <c r="K77" s="5">
        <v>2.859</v>
      </c>
      <c r="L77" s="5">
        <v>5.3840000000000003</v>
      </c>
      <c r="M77" s="5">
        <v>3.3864000000000001</v>
      </c>
      <c r="N77" s="5">
        <v>4.9325830000000002</v>
      </c>
      <c r="O77" s="5">
        <v>2</v>
      </c>
      <c r="P77" s="5">
        <f t="shared" si="1"/>
        <v>0.85899999999999999</v>
      </c>
      <c r="Q77" s="5" t="s">
        <v>5</v>
      </c>
      <c r="R77" s="5">
        <v>-2.33</v>
      </c>
      <c r="S77" s="5">
        <v>-0.12</v>
      </c>
      <c r="T77" s="5" t="s">
        <v>310</v>
      </c>
    </row>
    <row r="78" spans="1:20" ht="15" customHeight="1" x14ac:dyDescent="0.2">
      <c r="A78" s="5" t="s">
        <v>214</v>
      </c>
      <c r="B78" s="5" t="s">
        <v>215</v>
      </c>
      <c r="C78" s="5" t="s">
        <v>313</v>
      </c>
      <c r="D78" s="5" t="s">
        <v>84</v>
      </c>
      <c r="E78" s="5">
        <v>316.37640316574993</v>
      </c>
      <c r="F78" s="5">
        <v>0</v>
      </c>
      <c r="G78" s="5">
        <v>4</v>
      </c>
      <c r="H78" s="5">
        <v>43.71</v>
      </c>
      <c r="I78" s="5">
        <v>2.9</v>
      </c>
      <c r="J78" s="5">
        <v>3.4</v>
      </c>
      <c r="K78" s="5">
        <v>2.331</v>
      </c>
      <c r="L78" s="5">
        <v>5.4681179841712506</v>
      </c>
      <c r="M78" s="5">
        <v>3.6105539619736113</v>
      </c>
      <c r="N78" s="5">
        <v>4.7815909999999997</v>
      </c>
      <c r="O78" s="5">
        <v>4</v>
      </c>
      <c r="P78" s="5">
        <f t="shared" si="1"/>
        <v>-1.669</v>
      </c>
      <c r="Q78" s="5" t="s">
        <v>5</v>
      </c>
      <c r="R78" s="5">
        <v>-1.98</v>
      </c>
      <c r="S78" s="5">
        <v>0.53</v>
      </c>
      <c r="T78" s="5" t="s">
        <v>309</v>
      </c>
    </row>
    <row r="79" spans="1:20" ht="15" customHeight="1" x14ac:dyDescent="0.2">
      <c r="A79" s="5" t="s">
        <v>42</v>
      </c>
      <c r="B79" s="5" t="s">
        <v>44</v>
      </c>
      <c r="C79" s="5" t="s">
        <v>313</v>
      </c>
      <c r="D79" s="5" t="s">
        <v>119</v>
      </c>
      <c r="E79" s="5">
        <v>394.51500000294993</v>
      </c>
      <c r="F79" s="5">
        <v>0</v>
      </c>
      <c r="G79" s="5">
        <v>5</v>
      </c>
      <c r="H79" s="5">
        <v>49.85</v>
      </c>
      <c r="I79" s="5">
        <v>3.21</v>
      </c>
      <c r="J79" s="5">
        <v>7.76</v>
      </c>
      <c r="K79" s="5">
        <v>3.6859999999999999</v>
      </c>
      <c r="L79" s="5">
        <v>4.5794249999852505</v>
      </c>
      <c r="M79" s="5">
        <v>3.7544</v>
      </c>
      <c r="N79" s="5">
        <v>4.9824619999999999</v>
      </c>
      <c r="O79" s="5">
        <v>5</v>
      </c>
      <c r="P79" s="5">
        <f t="shared" si="1"/>
        <v>-1.3140000000000001</v>
      </c>
      <c r="Q79" s="5" t="s">
        <v>5</v>
      </c>
      <c r="R79" s="5">
        <v>-2.29</v>
      </c>
      <c r="S79" s="5">
        <v>0.44</v>
      </c>
      <c r="T79" s="5" t="s">
        <v>307</v>
      </c>
    </row>
    <row r="80" spans="1:20" ht="15" customHeight="1" x14ac:dyDescent="0.2">
      <c r="A80" s="5" t="s">
        <v>141</v>
      </c>
      <c r="B80" s="5" t="s">
        <v>143</v>
      </c>
      <c r="C80" s="5" t="s">
        <v>313</v>
      </c>
      <c r="D80" s="5" t="s">
        <v>142</v>
      </c>
      <c r="E80" s="5">
        <v>325.40800000235004</v>
      </c>
      <c r="F80" s="5">
        <v>1</v>
      </c>
      <c r="G80" s="5">
        <v>4</v>
      </c>
      <c r="H80" s="5">
        <v>49.77</v>
      </c>
      <c r="I80" s="5">
        <v>2.04</v>
      </c>
      <c r="J80" s="5">
        <v>8.51</v>
      </c>
      <c r="K80" s="5">
        <v>3.2850000000000001</v>
      </c>
      <c r="L80" s="5">
        <v>5.2054599999882498</v>
      </c>
      <c r="M80" s="5">
        <v>4.655765039948017</v>
      </c>
      <c r="N80" s="5">
        <v>5.0033659999999998</v>
      </c>
      <c r="O80" s="5">
        <v>4</v>
      </c>
      <c r="P80" s="5">
        <f t="shared" si="1"/>
        <v>-0.71499999999999986</v>
      </c>
      <c r="Q80" s="5" t="s">
        <v>5</v>
      </c>
      <c r="R80" s="5">
        <v>-2.37</v>
      </c>
      <c r="S80" s="5">
        <v>0.49</v>
      </c>
      <c r="T80" s="5" t="s">
        <v>308</v>
      </c>
    </row>
    <row r="81" spans="1:20" ht="15" customHeight="1" x14ac:dyDescent="0.2">
      <c r="A81" s="5" t="s">
        <v>88</v>
      </c>
      <c r="B81" s="5" t="s">
        <v>90</v>
      </c>
      <c r="C81" s="5" t="s">
        <v>313</v>
      </c>
      <c r="D81" s="5" t="s">
        <v>89</v>
      </c>
      <c r="E81" s="5">
        <v>319.37260672160005</v>
      </c>
      <c r="F81" s="5">
        <v>1</v>
      </c>
      <c r="G81" s="5">
        <v>4</v>
      </c>
      <c r="H81" s="5">
        <v>39.72</v>
      </c>
      <c r="I81" s="5">
        <v>1.39</v>
      </c>
      <c r="J81" s="5">
        <v>8.36</v>
      </c>
      <c r="K81" s="5">
        <v>2.706</v>
      </c>
      <c r="L81" s="5">
        <v>5.4591369663920002</v>
      </c>
      <c r="M81" s="5">
        <v>3.7184779393182072</v>
      </c>
      <c r="N81" s="5">
        <v>5.3080360000000004</v>
      </c>
      <c r="O81" s="5">
        <v>4</v>
      </c>
      <c r="P81" s="5">
        <f t="shared" si="1"/>
        <v>-1.294</v>
      </c>
      <c r="Q81" s="5" t="s">
        <v>5</v>
      </c>
      <c r="R81" s="5">
        <v>-3.14</v>
      </c>
      <c r="S81" s="5">
        <v>-0.4</v>
      </c>
      <c r="T81" s="5" t="s">
        <v>310</v>
      </c>
    </row>
    <row r="82" spans="1:20" ht="15" customHeight="1" x14ac:dyDescent="0.2">
      <c r="A82" s="5" t="s">
        <v>114</v>
      </c>
      <c r="B82" s="5" t="s">
        <v>115</v>
      </c>
      <c r="C82" s="5" t="s">
        <v>313</v>
      </c>
      <c r="D82" s="5" t="s">
        <v>89</v>
      </c>
      <c r="E82" s="5">
        <v>299.37000000214994</v>
      </c>
      <c r="F82" s="5">
        <v>1</v>
      </c>
      <c r="G82" s="5">
        <v>4</v>
      </c>
      <c r="H82" s="5">
        <v>39.72</v>
      </c>
      <c r="I82" s="5">
        <v>1.47</v>
      </c>
      <c r="J82" s="5">
        <v>8.3699999999999992</v>
      </c>
      <c r="K82" s="5">
        <v>2.5329999999999999</v>
      </c>
      <c r="L82" s="5">
        <v>5.5510000000000002</v>
      </c>
      <c r="M82" s="5">
        <v>4.1186500000000006</v>
      </c>
      <c r="N82" s="5">
        <v>5.2674500000000002</v>
      </c>
      <c r="O82" s="5">
        <v>4</v>
      </c>
      <c r="P82" s="5">
        <f t="shared" si="1"/>
        <v>-1.4670000000000001</v>
      </c>
      <c r="Q82" s="5" t="s">
        <v>5</v>
      </c>
      <c r="R82" s="5">
        <v>-3.15</v>
      </c>
      <c r="S82" s="5">
        <v>-0.39</v>
      </c>
      <c r="T82" s="5" t="s">
        <v>310</v>
      </c>
    </row>
    <row r="83" spans="1:20" ht="15" customHeight="1" x14ac:dyDescent="0.2">
      <c r="A83" s="5" t="s">
        <v>50</v>
      </c>
      <c r="B83" s="5" t="s">
        <v>52</v>
      </c>
      <c r="C83" s="5" t="s">
        <v>313</v>
      </c>
      <c r="D83" s="5" t="s">
        <v>51</v>
      </c>
      <c r="E83" s="5">
        <v>432.45120949335001</v>
      </c>
      <c r="F83" s="5">
        <v>2</v>
      </c>
      <c r="G83" s="5">
        <v>7</v>
      </c>
      <c r="H83" s="5">
        <v>76.89</v>
      </c>
      <c r="I83" s="5">
        <v>0.48</v>
      </c>
      <c r="J83" s="5">
        <v>9.1300000000000008</v>
      </c>
      <c r="K83" s="5">
        <v>3.7930000000000001</v>
      </c>
      <c r="L83" s="5">
        <v>3.8762439525332493</v>
      </c>
      <c r="M83" s="5">
        <v>2.5690459999999997</v>
      </c>
      <c r="N83" s="5">
        <v>3.7013929999999999</v>
      </c>
      <c r="O83" s="5">
        <v>7</v>
      </c>
      <c r="P83" s="5">
        <f t="shared" si="1"/>
        <v>-3.2069999999999999</v>
      </c>
      <c r="Q83" s="5" t="s">
        <v>147</v>
      </c>
      <c r="R83" s="5">
        <v>-3.24</v>
      </c>
      <c r="S83" s="5">
        <v>0.16</v>
      </c>
      <c r="T83" s="5" t="s">
        <v>308</v>
      </c>
    </row>
    <row r="84" spans="1:20" ht="15" customHeight="1" x14ac:dyDescent="0.2">
      <c r="A84" s="5" t="s">
        <v>59</v>
      </c>
      <c r="B84" s="5" t="s">
        <v>60</v>
      </c>
      <c r="C84" s="5" t="s">
        <v>313</v>
      </c>
      <c r="D84" s="5" t="s">
        <v>51</v>
      </c>
      <c r="E84" s="5">
        <v>450.44161265689996</v>
      </c>
      <c r="F84" s="5">
        <v>2</v>
      </c>
      <c r="G84" s="5">
        <v>7</v>
      </c>
      <c r="H84" s="5">
        <v>76.89</v>
      </c>
      <c r="I84" s="5">
        <v>0.47</v>
      </c>
      <c r="J84" s="5">
        <v>9.1199999999999992</v>
      </c>
      <c r="K84" s="5">
        <v>3.9660000000000002</v>
      </c>
      <c r="L84" s="5">
        <v>3.7047919367155004</v>
      </c>
      <c r="M84" s="5">
        <v>2.5733960000000002</v>
      </c>
      <c r="N84" s="5">
        <v>3.723398</v>
      </c>
      <c r="O84" s="5">
        <v>7</v>
      </c>
      <c r="P84" s="5">
        <f t="shared" si="1"/>
        <v>-3.0339999999999998</v>
      </c>
      <c r="Q84" s="5" t="s">
        <v>147</v>
      </c>
      <c r="R84" s="5">
        <v>-3.22</v>
      </c>
      <c r="S84" s="5">
        <v>0.17</v>
      </c>
      <c r="T84" s="5" t="s">
        <v>309</v>
      </c>
    </row>
    <row r="85" spans="1:20" ht="15" customHeight="1" x14ac:dyDescent="0.2">
      <c r="A85" s="5" t="s">
        <v>71</v>
      </c>
      <c r="B85" s="5" t="s">
        <v>72</v>
      </c>
      <c r="C85" s="5" t="s">
        <v>313</v>
      </c>
      <c r="D85" s="5" t="s">
        <v>43</v>
      </c>
      <c r="E85" s="5">
        <v>391.8510000023</v>
      </c>
      <c r="F85" s="5">
        <v>2</v>
      </c>
      <c r="G85" s="5">
        <v>4</v>
      </c>
      <c r="H85" s="5">
        <v>58.56</v>
      </c>
      <c r="I85" s="5">
        <v>2.14</v>
      </c>
      <c r="J85" s="5">
        <v>-2.48</v>
      </c>
      <c r="K85" s="5">
        <v>5.2939999999999996</v>
      </c>
      <c r="L85" s="5">
        <v>3.9707449999884998</v>
      </c>
      <c r="M85" s="5">
        <v>2.6747399999999999</v>
      </c>
      <c r="N85" s="5">
        <v>4.1037049999999997</v>
      </c>
      <c r="O85" s="5">
        <v>4</v>
      </c>
      <c r="P85" s="5">
        <f t="shared" si="1"/>
        <v>1.2939999999999996</v>
      </c>
      <c r="Q85" s="5" t="s">
        <v>147</v>
      </c>
      <c r="R85" s="5">
        <v>-4.63</v>
      </c>
      <c r="S85" s="5">
        <v>-0.83</v>
      </c>
      <c r="T85" s="5" t="s">
        <v>310</v>
      </c>
    </row>
    <row r="86" spans="1:20" ht="15.75" customHeight="1" x14ac:dyDescent="0.2">
      <c r="A86" s="5" t="s">
        <v>249</v>
      </c>
      <c r="B86" s="5" t="s">
        <v>250</v>
      </c>
      <c r="C86" s="5" t="s">
        <v>313</v>
      </c>
      <c r="D86" s="2" t="s">
        <v>43</v>
      </c>
      <c r="E86" s="5">
        <v>383.92840316569999</v>
      </c>
      <c r="F86" s="5">
        <v>2</v>
      </c>
      <c r="G86" s="5">
        <v>3</v>
      </c>
      <c r="H86" s="5">
        <v>89.72</v>
      </c>
      <c r="I86" s="5">
        <v>2.58</v>
      </c>
      <c r="J86" s="5">
        <v>10.130000000000001</v>
      </c>
      <c r="K86" s="5">
        <v>2.8050000000000002</v>
      </c>
      <c r="L86" s="5">
        <v>3.7903579841715</v>
      </c>
      <c r="M86" s="5">
        <v>0.2747799999999998</v>
      </c>
      <c r="N86" s="5">
        <v>5.4601730000000002</v>
      </c>
      <c r="O86" s="5">
        <v>3</v>
      </c>
      <c r="P86" s="5">
        <f t="shared" si="1"/>
        <v>-0.19499999999999984</v>
      </c>
      <c r="Q86" s="5" t="s">
        <v>5</v>
      </c>
      <c r="R86" s="5">
        <v>-2.9</v>
      </c>
      <c r="S86" s="5">
        <v>0.47</v>
      </c>
      <c r="T86" s="5" t="s">
        <v>310</v>
      </c>
    </row>
    <row r="87" spans="1:20" ht="15.75" customHeight="1" x14ac:dyDescent="0.2">
      <c r="A87" s="5" t="s">
        <v>251</v>
      </c>
      <c r="B87" s="5" t="s">
        <v>252</v>
      </c>
      <c r="C87" s="5" t="s">
        <v>313</v>
      </c>
      <c r="D87" s="2" t="s">
        <v>43</v>
      </c>
      <c r="E87" s="5">
        <v>401.25147000189997</v>
      </c>
      <c r="F87" s="5">
        <v>2</v>
      </c>
      <c r="G87" s="5">
        <v>3</v>
      </c>
      <c r="H87" s="5">
        <v>39.119999999999997</v>
      </c>
      <c r="I87" s="5">
        <v>2.76</v>
      </c>
      <c r="J87" s="5">
        <v>11.88</v>
      </c>
      <c r="K87" s="5">
        <v>2.9630000000000001</v>
      </c>
      <c r="L87" s="5">
        <v>3.5697426499905003</v>
      </c>
      <c r="M87" s="5">
        <v>0.69276000000000026</v>
      </c>
      <c r="N87" s="5">
        <v>4.6816659999999999</v>
      </c>
      <c r="O87" s="5">
        <v>3</v>
      </c>
      <c r="P87" s="5">
        <f t="shared" si="1"/>
        <v>-3.6999999999999922E-2</v>
      </c>
      <c r="Q87" s="5" t="s">
        <v>312</v>
      </c>
      <c r="R87" s="5">
        <v>-2.34</v>
      </c>
      <c r="S87" s="5">
        <v>0.53</v>
      </c>
      <c r="T87" s="5" t="s">
        <v>310</v>
      </c>
    </row>
    <row r="88" spans="1:20" ht="15" customHeight="1" x14ac:dyDescent="0.2">
      <c r="A88" s="5" t="s">
        <v>216</v>
      </c>
      <c r="B88" s="5" t="s">
        <v>218</v>
      </c>
      <c r="C88" s="5" t="s">
        <v>313</v>
      </c>
      <c r="D88" s="5" t="s">
        <v>217</v>
      </c>
      <c r="E88" s="5">
        <v>420.51880632984989</v>
      </c>
      <c r="F88" s="5">
        <v>1</v>
      </c>
      <c r="G88" s="5">
        <v>4</v>
      </c>
      <c r="H88" s="5">
        <v>69.81</v>
      </c>
      <c r="I88" s="5">
        <v>3.77</v>
      </c>
      <c r="J88" s="5">
        <v>8.1</v>
      </c>
      <c r="K88" s="5">
        <v>3.6309999999999998</v>
      </c>
      <c r="L88" s="5">
        <v>3.896905968350751</v>
      </c>
      <c r="M88" s="5">
        <v>3.3257839999999996</v>
      </c>
      <c r="N88" s="5">
        <v>5.1978910000000003</v>
      </c>
      <c r="O88" s="5">
        <v>4</v>
      </c>
      <c r="P88" s="5">
        <f t="shared" si="1"/>
        <v>-0.36900000000000022</v>
      </c>
      <c r="Q88" s="5" t="s">
        <v>147</v>
      </c>
      <c r="R88" s="5">
        <v>-2.34</v>
      </c>
      <c r="S88" s="5">
        <v>0.83</v>
      </c>
      <c r="T88" s="5" t="s">
        <v>309</v>
      </c>
    </row>
    <row r="89" spans="1:20" ht="15" customHeight="1" x14ac:dyDescent="0.2">
      <c r="A89" s="5" t="s">
        <v>39</v>
      </c>
      <c r="B89" s="5" t="s">
        <v>41</v>
      </c>
      <c r="C89" s="5" t="s">
        <v>313</v>
      </c>
      <c r="D89" s="5" t="s">
        <v>40</v>
      </c>
      <c r="E89" s="5">
        <v>411.54200000315001</v>
      </c>
      <c r="F89" s="5">
        <v>2</v>
      </c>
      <c r="G89" s="5">
        <v>5</v>
      </c>
      <c r="H89" s="5">
        <v>62.16</v>
      </c>
      <c r="I89" s="5">
        <v>0.97</v>
      </c>
      <c r="J89" s="5">
        <v>9.6199999999999992</v>
      </c>
      <c r="K89" s="5">
        <v>2.1829999999999998</v>
      </c>
      <c r="L89" s="5">
        <v>4.1322899999842502</v>
      </c>
      <c r="M89" s="5">
        <v>2</v>
      </c>
      <c r="N89" s="5">
        <v>4.4000380000000003</v>
      </c>
      <c r="O89" s="5">
        <v>5</v>
      </c>
      <c r="P89" s="5">
        <f t="shared" si="1"/>
        <v>-2.8170000000000002</v>
      </c>
      <c r="Q89" s="5" t="s">
        <v>147</v>
      </c>
      <c r="R89" s="5">
        <v>-3.07</v>
      </c>
      <c r="S89" s="5">
        <v>0.25</v>
      </c>
      <c r="T89" s="5" t="s">
        <v>307</v>
      </c>
    </row>
    <row r="90" spans="1:20" ht="15" customHeight="1" x14ac:dyDescent="0.2">
      <c r="A90" s="5" t="s">
        <v>137</v>
      </c>
      <c r="B90" s="5" t="s">
        <v>139</v>
      </c>
      <c r="C90" s="5" t="s">
        <v>313</v>
      </c>
      <c r="D90" s="5" t="s">
        <v>138</v>
      </c>
      <c r="E90" s="5">
        <v>345.41440316599994</v>
      </c>
      <c r="F90" s="5">
        <v>2</v>
      </c>
      <c r="G90" s="5">
        <v>4</v>
      </c>
      <c r="H90" s="5">
        <v>52.93</v>
      </c>
      <c r="I90" s="5">
        <v>1.93</v>
      </c>
      <c r="J90" s="5">
        <v>6.95</v>
      </c>
      <c r="K90" s="5">
        <v>1.9059999999999999</v>
      </c>
      <c r="L90" s="5">
        <v>5.2729279841699999</v>
      </c>
      <c r="M90" s="5">
        <v>2.8850634019680816</v>
      </c>
      <c r="N90" s="5">
        <v>4.7843299999999997</v>
      </c>
      <c r="O90" s="5">
        <v>4</v>
      </c>
      <c r="P90" s="5">
        <f t="shared" si="1"/>
        <v>-2.0940000000000003</v>
      </c>
      <c r="Q90" s="5" t="s">
        <v>5</v>
      </c>
      <c r="R90" s="5">
        <v>-1.58</v>
      </c>
      <c r="S90" s="5">
        <v>0.33</v>
      </c>
      <c r="T90" s="5" t="s">
        <v>308</v>
      </c>
    </row>
    <row r="91" spans="1:20" ht="15" customHeight="1" x14ac:dyDescent="0.2">
      <c r="A91" s="5" t="s">
        <v>222</v>
      </c>
      <c r="B91" s="5" t="s">
        <v>224</v>
      </c>
      <c r="C91" s="5" t="s">
        <v>313</v>
      </c>
      <c r="D91" s="5" t="s">
        <v>223</v>
      </c>
      <c r="E91" s="5">
        <v>457.58640316700001</v>
      </c>
      <c r="F91" s="5">
        <v>2</v>
      </c>
      <c r="G91" s="5">
        <v>5</v>
      </c>
      <c r="H91" s="5">
        <v>62.16</v>
      </c>
      <c r="I91" s="5">
        <v>2.57</v>
      </c>
      <c r="J91" s="5">
        <v>8.16</v>
      </c>
      <c r="K91" s="5">
        <v>2.774</v>
      </c>
      <c r="L91" s="5">
        <v>4.3470679841650002</v>
      </c>
      <c r="M91" s="5">
        <v>1.8642700000000003</v>
      </c>
      <c r="N91" s="5">
        <v>4.2400979999999997</v>
      </c>
      <c r="O91" s="5">
        <v>5</v>
      </c>
      <c r="P91" s="5">
        <f t="shared" si="1"/>
        <v>-2.226</v>
      </c>
      <c r="Q91" s="5" t="s">
        <v>147</v>
      </c>
      <c r="R91" s="5">
        <v>-2.62</v>
      </c>
      <c r="S91" s="5">
        <v>0.46</v>
      </c>
      <c r="T91" s="5" t="s">
        <v>307</v>
      </c>
    </row>
    <row r="92" spans="1:20" ht="15" customHeight="1" x14ac:dyDescent="0.2">
      <c r="A92" s="5" t="s">
        <v>156</v>
      </c>
      <c r="B92" s="5" t="s">
        <v>158</v>
      </c>
      <c r="C92" s="5" t="s">
        <v>314</v>
      </c>
      <c r="D92" s="5" t="s">
        <v>157</v>
      </c>
      <c r="E92" s="5">
        <v>399.5790000033</v>
      </c>
      <c r="F92" s="5">
        <v>1</v>
      </c>
      <c r="G92" s="5">
        <v>5</v>
      </c>
      <c r="H92" s="5">
        <v>47.02</v>
      </c>
      <c r="I92" s="5">
        <v>3.58</v>
      </c>
      <c r="J92" s="5">
        <v>9.07</v>
      </c>
      <c r="K92" s="5">
        <v>5.415</v>
      </c>
      <c r="L92" s="5">
        <v>2.9271049999834995</v>
      </c>
      <c r="M92" s="5">
        <v>2.1845499999999998</v>
      </c>
      <c r="N92" s="5">
        <v>5.0004340000000003</v>
      </c>
      <c r="O92" s="5">
        <v>5</v>
      </c>
      <c r="P92" s="5">
        <f t="shared" si="1"/>
        <v>0.41500000000000004</v>
      </c>
      <c r="Q92" s="5" t="s">
        <v>147</v>
      </c>
      <c r="R92" s="5">
        <v>-2.33</v>
      </c>
      <c r="S92" s="5">
        <v>1.1100000000000001</v>
      </c>
      <c r="T92" s="5" t="s">
        <v>307</v>
      </c>
    </row>
    <row r="93" spans="1:20" ht="15.75" customHeight="1" x14ac:dyDescent="0.2">
      <c r="A93" s="5" t="s">
        <v>253</v>
      </c>
      <c r="B93" s="5" t="s">
        <v>255</v>
      </c>
      <c r="C93" s="5" t="s">
        <v>313</v>
      </c>
      <c r="D93" s="2" t="s">
        <v>254</v>
      </c>
      <c r="E93" s="5">
        <v>418.27800000224994</v>
      </c>
      <c r="F93" s="5">
        <v>0</v>
      </c>
      <c r="G93" s="5">
        <v>7</v>
      </c>
      <c r="H93" s="5">
        <v>73.14</v>
      </c>
      <c r="I93" s="5">
        <v>3.07</v>
      </c>
      <c r="J93" s="5">
        <v>3.93</v>
      </c>
      <c r="K93" s="5">
        <v>2.5619999999999998</v>
      </c>
      <c r="L93" s="5">
        <v>4.8736099999887506</v>
      </c>
      <c r="M93" s="5">
        <v>2.5740959999999999</v>
      </c>
      <c r="N93" s="5">
        <v>4.2465539999999997</v>
      </c>
      <c r="O93" s="5">
        <v>7</v>
      </c>
      <c r="P93" s="5">
        <f t="shared" si="1"/>
        <v>-4.4380000000000006</v>
      </c>
      <c r="Q93" s="5" t="s">
        <v>147</v>
      </c>
      <c r="R93" s="5">
        <v>-2.89</v>
      </c>
      <c r="S93" s="5">
        <v>-0.39</v>
      </c>
      <c r="T93" s="5" t="s">
        <v>310</v>
      </c>
    </row>
    <row r="94" spans="1:20" ht="15.75" customHeight="1" x14ac:dyDescent="0.2">
      <c r="A94" s="5" t="s">
        <v>256</v>
      </c>
      <c r="B94" s="5" t="s">
        <v>257</v>
      </c>
      <c r="C94" s="5" t="s">
        <v>313</v>
      </c>
      <c r="D94" s="2" t="s">
        <v>254</v>
      </c>
      <c r="E94" s="5">
        <v>334.72320949244994</v>
      </c>
      <c r="F94" s="5">
        <v>1</v>
      </c>
      <c r="G94" s="5">
        <v>4</v>
      </c>
      <c r="H94" s="5">
        <v>49.41</v>
      </c>
      <c r="I94" s="5">
        <v>2.23</v>
      </c>
      <c r="J94" s="5">
        <v>-1.1599999999999999</v>
      </c>
      <c r="K94" s="5">
        <v>2.2610000000000001</v>
      </c>
      <c r="L94" s="5">
        <v>5.4613839525377506</v>
      </c>
      <c r="M94" s="5">
        <v>3.8488526060270072</v>
      </c>
      <c r="N94" s="5">
        <v>4.5896330000000001</v>
      </c>
      <c r="O94" s="5">
        <v>4</v>
      </c>
      <c r="P94" s="5">
        <f t="shared" si="1"/>
        <v>-1.7389999999999999</v>
      </c>
      <c r="Q94" s="5" t="s">
        <v>5</v>
      </c>
      <c r="R94" s="5">
        <v>-2.66</v>
      </c>
      <c r="S94" s="5">
        <v>-0.43</v>
      </c>
      <c r="T94" s="5" t="s">
        <v>310</v>
      </c>
    </row>
    <row r="95" spans="1:20" ht="15.75" customHeight="1" x14ac:dyDescent="0.2">
      <c r="A95" s="5" t="s">
        <v>258</v>
      </c>
      <c r="B95" s="5" t="s">
        <v>259</v>
      </c>
      <c r="C95" s="5" t="s">
        <v>313</v>
      </c>
      <c r="D95" s="2" t="s">
        <v>254</v>
      </c>
      <c r="E95" s="5">
        <v>409.34861265639995</v>
      </c>
      <c r="F95" s="5">
        <v>0</v>
      </c>
      <c r="G95" s="5">
        <v>8</v>
      </c>
      <c r="H95" s="5">
        <v>86.94</v>
      </c>
      <c r="I95" s="5">
        <v>1.1000000000000001</v>
      </c>
      <c r="J95" s="5">
        <v>3.82</v>
      </c>
      <c r="K95" s="5">
        <v>1.8169999999999999</v>
      </c>
      <c r="L95" s="5">
        <v>5.4532569367180006</v>
      </c>
      <c r="M95" s="5">
        <v>3</v>
      </c>
      <c r="N95" s="5">
        <v>3.8209870000000001</v>
      </c>
      <c r="O95" s="5">
        <v>8</v>
      </c>
      <c r="P95" s="5">
        <f t="shared" si="1"/>
        <v>-6.1829999999999998</v>
      </c>
      <c r="Q95" s="5" t="s">
        <v>147</v>
      </c>
      <c r="R95" s="5">
        <v>-3.25</v>
      </c>
      <c r="S95" s="5">
        <v>-0.8</v>
      </c>
      <c r="T95" s="5" t="s">
        <v>310</v>
      </c>
    </row>
    <row r="96" spans="1:20" ht="15" customHeight="1" x14ac:dyDescent="0.2">
      <c r="A96" s="5" t="s">
        <v>27</v>
      </c>
      <c r="B96" s="5" t="s">
        <v>29</v>
      </c>
      <c r="C96" s="5" t="s">
        <v>313</v>
      </c>
      <c r="D96" s="5" t="s">
        <v>28</v>
      </c>
      <c r="E96" s="5">
        <v>348.40200000229993</v>
      </c>
      <c r="F96" s="5">
        <v>0</v>
      </c>
      <c r="G96" s="5">
        <v>5</v>
      </c>
      <c r="H96" s="5">
        <v>51.66</v>
      </c>
      <c r="I96" s="5">
        <v>3.35</v>
      </c>
      <c r="J96" s="5">
        <v>5.16</v>
      </c>
      <c r="K96" s="5">
        <v>3.0950000000000002</v>
      </c>
      <c r="L96" s="5">
        <v>5.0354899999885001</v>
      </c>
      <c r="M96" s="5">
        <v>3.9533477599491258</v>
      </c>
      <c r="N96" s="5">
        <v>4.4536610000000003</v>
      </c>
      <c r="O96" s="5">
        <v>5</v>
      </c>
      <c r="P96" s="5">
        <f t="shared" si="1"/>
        <v>-1.9049999999999998</v>
      </c>
      <c r="Q96" s="5" t="s">
        <v>5</v>
      </c>
      <c r="R96" s="5">
        <v>-2.88</v>
      </c>
      <c r="S96" s="5">
        <v>-0.37</v>
      </c>
      <c r="T96" s="5" t="s">
        <v>310</v>
      </c>
    </row>
    <row r="97" spans="1:20" ht="15" customHeight="1" x14ac:dyDescent="0.2">
      <c r="A97" s="5" t="s">
        <v>149</v>
      </c>
      <c r="B97" s="5" t="s">
        <v>148</v>
      </c>
      <c r="C97" s="5" t="s">
        <v>314</v>
      </c>
      <c r="D97" s="5" t="s">
        <v>28</v>
      </c>
      <c r="E97" s="5">
        <v>352.86200000229996</v>
      </c>
      <c r="F97" s="5">
        <v>0</v>
      </c>
      <c r="G97" s="5">
        <v>3</v>
      </c>
      <c r="H97" s="5">
        <v>33.200000000000003</v>
      </c>
      <c r="I97" s="5">
        <v>4.93</v>
      </c>
      <c r="J97" s="5">
        <v>1.76</v>
      </c>
      <c r="K97" s="5">
        <v>4.6150000000000002</v>
      </c>
      <c r="L97" s="5">
        <v>3.5881899999884999</v>
      </c>
      <c r="M97" s="5">
        <v>3.1080000000000001</v>
      </c>
      <c r="N97" s="5">
        <v>4.7017730000000002</v>
      </c>
      <c r="O97" s="5">
        <v>3</v>
      </c>
      <c r="P97" s="5">
        <f t="shared" si="1"/>
        <v>1.6150000000000002</v>
      </c>
      <c r="Q97" s="5" t="s">
        <v>5</v>
      </c>
      <c r="R97" s="5">
        <v>-2.73</v>
      </c>
      <c r="S97" s="5">
        <v>0.42</v>
      </c>
      <c r="T97" s="5" t="s">
        <v>310</v>
      </c>
    </row>
    <row r="98" spans="1:20" ht="15" customHeight="1" x14ac:dyDescent="0.2">
      <c r="A98" s="5" t="s">
        <v>159</v>
      </c>
      <c r="B98" s="5" t="s">
        <v>160</v>
      </c>
      <c r="C98" s="5" t="s">
        <v>314</v>
      </c>
      <c r="D98" s="5" t="s">
        <v>28</v>
      </c>
      <c r="E98" s="5">
        <v>380.41940316599994</v>
      </c>
      <c r="F98" s="5">
        <v>0</v>
      </c>
      <c r="G98" s="5">
        <v>5</v>
      </c>
      <c r="H98" s="5">
        <v>51.66</v>
      </c>
      <c r="I98" s="5">
        <v>3.56</v>
      </c>
      <c r="J98" s="5">
        <v>5.15</v>
      </c>
      <c r="K98" s="5">
        <v>3.347</v>
      </c>
      <c r="L98" s="5">
        <v>4.6444029841700001</v>
      </c>
      <c r="M98" s="5">
        <v>4</v>
      </c>
      <c r="N98" s="5">
        <v>4.4224110000000003</v>
      </c>
      <c r="O98" s="5">
        <v>5</v>
      </c>
      <c r="P98" s="5">
        <f t="shared" si="1"/>
        <v>-1.653</v>
      </c>
      <c r="Q98" s="5" t="s">
        <v>5</v>
      </c>
      <c r="R98" s="5">
        <v>-2.78</v>
      </c>
      <c r="S98" s="5">
        <v>-0.18</v>
      </c>
      <c r="T98" s="5" t="s">
        <v>310</v>
      </c>
    </row>
    <row r="99" spans="1:20" ht="15" customHeight="1" x14ac:dyDescent="0.2">
      <c r="A99" s="5" t="s">
        <v>319</v>
      </c>
      <c r="B99" s="5" t="s">
        <v>78</v>
      </c>
      <c r="C99" s="5" t="s">
        <v>313</v>
      </c>
      <c r="D99" s="5" t="s">
        <v>77</v>
      </c>
      <c r="E99" s="5">
        <v>259.34900000199997</v>
      </c>
      <c r="F99" s="5">
        <v>1</v>
      </c>
      <c r="G99" s="5">
        <v>3</v>
      </c>
      <c r="H99" s="5">
        <v>38.33</v>
      </c>
      <c r="I99" s="5">
        <v>2.52</v>
      </c>
      <c r="J99" s="5">
        <v>-0.41</v>
      </c>
      <c r="K99" s="5">
        <v>2.4750000000000001</v>
      </c>
      <c r="L99" s="5">
        <v>5.4065000000000003</v>
      </c>
      <c r="M99" s="5">
        <v>3.8477199999999998</v>
      </c>
      <c r="N99" s="5">
        <v>4.8062050000000003</v>
      </c>
      <c r="O99" s="5">
        <v>3</v>
      </c>
      <c r="P99" s="5">
        <f t="shared" si="1"/>
        <v>-0.52499999999999991</v>
      </c>
      <c r="Q99" s="5" t="s">
        <v>5</v>
      </c>
      <c r="R99" s="5">
        <v>-2.02</v>
      </c>
      <c r="S99" s="5">
        <v>0.2</v>
      </c>
      <c r="T99" s="5" t="s">
        <v>308</v>
      </c>
    </row>
    <row r="100" spans="1:20" ht="15" customHeight="1" x14ac:dyDescent="0.2">
      <c r="A100" s="5" t="s">
        <v>16</v>
      </c>
      <c r="B100" s="5" t="s">
        <v>18</v>
      </c>
      <c r="C100" s="5" t="s">
        <v>313</v>
      </c>
      <c r="D100" s="5" t="s">
        <v>17</v>
      </c>
      <c r="E100" s="5">
        <v>283.39300000185</v>
      </c>
      <c r="F100" s="5">
        <v>2</v>
      </c>
      <c r="G100" s="5">
        <v>3</v>
      </c>
      <c r="H100" s="5">
        <v>78.349999999999994</v>
      </c>
      <c r="I100" s="5">
        <v>1.87</v>
      </c>
      <c r="J100" s="5">
        <v>8.4499999999999993</v>
      </c>
      <c r="K100" s="5">
        <v>3.2090000000000001</v>
      </c>
      <c r="L100" s="5">
        <v>5.1705000000000005</v>
      </c>
      <c r="M100" s="5">
        <v>3.7213599999999998</v>
      </c>
      <c r="N100" s="5">
        <v>5.1879119999999999</v>
      </c>
      <c r="O100" s="5">
        <v>3</v>
      </c>
      <c r="P100" s="5">
        <f t="shared" si="1"/>
        <v>0.20900000000000007</v>
      </c>
      <c r="Q100" s="5" t="s">
        <v>5</v>
      </c>
      <c r="R100" s="5">
        <v>-2.74</v>
      </c>
      <c r="S100" s="5">
        <v>0.14000000000000001</v>
      </c>
      <c r="T100" s="5" t="s">
        <v>307</v>
      </c>
    </row>
    <row r="101" spans="1:20" ht="15" customHeight="1" x14ac:dyDescent="0.2">
      <c r="A101" s="5" t="s">
        <v>19</v>
      </c>
      <c r="B101" s="5" t="s">
        <v>20</v>
      </c>
      <c r="C101" s="5" t="s">
        <v>313</v>
      </c>
      <c r="D101" s="5" t="s">
        <v>17</v>
      </c>
      <c r="E101" s="5">
        <v>272.41000000194998</v>
      </c>
      <c r="F101" s="5">
        <v>2</v>
      </c>
      <c r="G101" s="5">
        <v>2</v>
      </c>
      <c r="H101" s="5">
        <v>54.56</v>
      </c>
      <c r="I101" s="5">
        <v>2.19</v>
      </c>
      <c r="J101" s="5">
        <v>8.4700000000000006</v>
      </c>
      <c r="K101" s="5">
        <v>3.5859999999999999</v>
      </c>
      <c r="L101" s="5">
        <v>4.8769999999999998</v>
      </c>
      <c r="M101" s="5">
        <v>4.07484</v>
      </c>
      <c r="N101" s="5">
        <v>5.6082320000000001</v>
      </c>
      <c r="O101" s="5">
        <v>2</v>
      </c>
      <c r="P101" s="5">
        <f t="shared" si="1"/>
        <v>1.5859999999999999</v>
      </c>
      <c r="Q101" s="5" t="s">
        <v>5</v>
      </c>
      <c r="R101" s="5">
        <v>-2.35</v>
      </c>
      <c r="S101" s="5">
        <v>0.49</v>
      </c>
      <c r="T101" s="5" t="s">
        <v>307</v>
      </c>
    </row>
    <row r="102" spans="1:20" ht="15" customHeight="1" x14ac:dyDescent="0.2">
      <c r="A102" s="5" t="s">
        <v>120</v>
      </c>
      <c r="B102" s="5" t="s">
        <v>121</v>
      </c>
      <c r="C102" s="5" t="s">
        <v>313</v>
      </c>
      <c r="D102" s="5" t="s">
        <v>17</v>
      </c>
      <c r="E102" s="5">
        <v>290.40040316549999</v>
      </c>
      <c r="F102" s="5">
        <v>2</v>
      </c>
      <c r="G102" s="5">
        <v>2</v>
      </c>
      <c r="H102" s="5">
        <v>54.56</v>
      </c>
      <c r="I102" s="5">
        <v>1.97</v>
      </c>
      <c r="J102" s="5">
        <v>8.4600000000000009</v>
      </c>
      <c r="K102" s="5">
        <v>3.2090000000000001</v>
      </c>
      <c r="L102" s="5">
        <v>5.1654999999999998</v>
      </c>
      <c r="M102" s="5">
        <v>4.2791699999999997</v>
      </c>
      <c r="N102" s="5">
        <v>5.6241199999999996</v>
      </c>
      <c r="O102" s="5">
        <v>2</v>
      </c>
      <c r="P102" s="5">
        <f t="shared" si="1"/>
        <v>1.2090000000000001</v>
      </c>
      <c r="Q102" s="5" t="s">
        <v>5</v>
      </c>
      <c r="R102" s="5">
        <v>-2.44</v>
      </c>
      <c r="S102" s="5">
        <v>0.37</v>
      </c>
      <c r="T102" s="5" t="s">
        <v>307</v>
      </c>
    </row>
    <row r="103" spans="1:20" ht="15" customHeight="1" x14ac:dyDescent="0.2">
      <c r="A103" s="5" t="s">
        <v>133</v>
      </c>
      <c r="B103" s="5" t="s">
        <v>134</v>
      </c>
      <c r="C103" s="5" t="s">
        <v>313</v>
      </c>
      <c r="D103" s="5" t="s">
        <v>17</v>
      </c>
      <c r="E103" s="5">
        <v>295.44400000209998</v>
      </c>
      <c r="F103" s="5">
        <v>0</v>
      </c>
      <c r="G103" s="5">
        <v>1</v>
      </c>
      <c r="H103" s="5">
        <v>28.54</v>
      </c>
      <c r="I103" s="5">
        <v>4.01</v>
      </c>
      <c r="J103" s="5">
        <v>8.5</v>
      </c>
      <c r="K103" s="5">
        <v>4.7320000000000002</v>
      </c>
      <c r="L103" s="5">
        <v>3.3109999999999999</v>
      </c>
      <c r="M103" s="5">
        <v>3.4325000000000001</v>
      </c>
      <c r="N103" s="5">
        <v>5.638172</v>
      </c>
      <c r="O103" s="5">
        <v>1</v>
      </c>
      <c r="P103" s="5">
        <f t="shared" si="1"/>
        <v>3.7320000000000002</v>
      </c>
      <c r="Q103" s="5" t="s">
        <v>5</v>
      </c>
      <c r="R103" s="5">
        <v>-2.11</v>
      </c>
      <c r="S103" s="5">
        <v>1.1599999999999999</v>
      </c>
      <c r="T103" s="5" t="s">
        <v>307</v>
      </c>
    </row>
    <row r="104" spans="1:20" ht="15" customHeight="1" x14ac:dyDescent="0.2">
      <c r="A104" s="5" t="s">
        <v>270</v>
      </c>
      <c r="B104" s="5" t="s">
        <v>271</v>
      </c>
      <c r="C104" s="5" t="s">
        <v>313</v>
      </c>
      <c r="D104" s="5" t="s">
        <v>17</v>
      </c>
      <c r="E104" s="5">
        <v>276.37340316535</v>
      </c>
      <c r="F104" s="5">
        <v>2</v>
      </c>
      <c r="G104" s="5">
        <v>2</v>
      </c>
      <c r="H104" s="5">
        <v>54.56</v>
      </c>
      <c r="I104" s="5">
        <v>2.0099999999999998</v>
      </c>
      <c r="J104" s="5">
        <v>8.4499999999999993</v>
      </c>
      <c r="K104" s="5">
        <v>3.5270000000000001</v>
      </c>
      <c r="L104" s="5">
        <v>5.0065000000000008</v>
      </c>
      <c r="M104" s="5">
        <v>4.24716</v>
      </c>
      <c r="N104" s="5">
        <v>5.6119029999999999</v>
      </c>
      <c r="O104" s="5">
        <v>2</v>
      </c>
      <c r="P104" s="5">
        <f t="shared" si="1"/>
        <v>1.5270000000000001</v>
      </c>
      <c r="Q104" s="5" t="s">
        <v>5</v>
      </c>
      <c r="R104" s="5">
        <v>-2.59</v>
      </c>
      <c r="S104" s="5">
        <v>0.22</v>
      </c>
      <c r="T104" s="5" t="s">
        <v>307</v>
      </c>
    </row>
    <row r="105" spans="1:20" ht="15" customHeight="1" x14ac:dyDescent="0.2">
      <c r="A105" s="5" t="s">
        <v>4</v>
      </c>
      <c r="B105" s="5" t="s">
        <v>3</v>
      </c>
      <c r="C105" s="5" t="s">
        <v>313</v>
      </c>
      <c r="D105" s="5" t="s">
        <v>6</v>
      </c>
      <c r="E105" s="5">
        <v>368.52100000294996</v>
      </c>
      <c r="F105" s="5">
        <v>0</v>
      </c>
      <c r="G105" s="5">
        <v>4</v>
      </c>
      <c r="H105" s="5">
        <v>24.94</v>
      </c>
      <c r="I105" s="5">
        <v>3.35</v>
      </c>
      <c r="J105" s="5">
        <v>7.61</v>
      </c>
      <c r="K105" s="5">
        <v>3.2690000000000001</v>
      </c>
      <c r="L105" s="5">
        <v>4.0948949999852502</v>
      </c>
      <c r="M105" s="5">
        <v>2.8196499999999998</v>
      </c>
      <c r="N105" s="5">
        <v>5.508464</v>
      </c>
      <c r="O105" s="5">
        <v>4</v>
      </c>
      <c r="P105" s="5">
        <f t="shared" si="1"/>
        <v>-0.73099999999999987</v>
      </c>
      <c r="Q105" s="5" t="s">
        <v>5</v>
      </c>
      <c r="R105" s="5">
        <v>-1.75</v>
      </c>
      <c r="S105" s="5">
        <v>1.01</v>
      </c>
      <c r="T105" s="5" t="s">
        <v>308</v>
      </c>
    </row>
    <row r="106" spans="1:20" ht="15" customHeight="1" x14ac:dyDescent="0.2">
      <c r="A106" s="5" t="s">
        <v>164</v>
      </c>
      <c r="B106" s="5" t="s">
        <v>166</v>
      </c>
      <c r="C106" s="5" t="s">
        <v>314</v>
      </c>
      <c r="D106" s="5" t="s">
        <v>165</v>
      </c>
      <c r="E106" s="5">
        <v>437.40500000294998</v>
      </c>
      <c r="F106" s="5">
        <v>0</v>
      </c>
      <c r="G106" s="5">
        <v>4</v>
      </c>
      <c r="H106" s="5">
        <v>24.94</v>
      </c>
      <c r="I106" s="5">
        <v>4.5599999999999996</v>
      </c>
      <c r="J106" s="5">
        <v>7.53</v>
      </c>
      <c r="K106" s="5">
        <v>4.5750000000000002</v>
      </c>
      <c r="L106" s="5">
        <v>2.77247499998525</v>
      </c>
      <c r="M106" s="5">
        <v>2.8544499999999999</v>
      </c>
      <c r="N106" s="5">
        <v>5.4293990000000001</v>
      </c>
      <c r="O106" s="5">
        <v>4</v>
      </c>
      <c r="P106" s="5">
        <f t="shared" si="1"/>
        <v>0.57500000000000018</v>
      </c>
      <c r="Q106" s="5" t="s">
        <v>147</v>
      </c>
      <c r="R106" s="5">
        <v>-2.16</v>
      </c>
      <c r="S106" s="5">
        <v>1.04</v>
      </c>
      <c r="T106" s="5" t="s">
        <v>310</v>
      </c>
    </row>
    <row r="107" spans="1:20" ht="15" customHeight="1" x14ac:dyDescent="0.2">
      <c r="A107" s="5" t="s">
        <v>172</v>
      </c>
      <c r="B107" s="5" t="s">
        <v>173</v>
      </c>
      <c r="C107" s="5" t="s">
        <v>314</v>
      </c>
      <c r="D107" s="5" t="s">
        <v>165</v>
      </c>
      <c r="E107" s="5">
        <v>355.52200000294999</v>
      </c>
      <c r="F107" s="5">
        <v>0</v>
      </c>
      <c r="G107" s="5">
        <v>3</v>
      </c>
      <c r="H107" s="5">
        <v>21.7</v>
      </c>
      <c r="I107" s="5">
        <v>3.49</v>
      </c>
      <c r="J107" s="5">
        <v>9.4700000000000006</v>
      </c>
      <c r="K107" s="5">
        <v>5.9859999999999998</v>
      </c>
      <c r="L107" s="5">
        <v>2.3273899999852494</v>
      </c>
      <c r="M107" s="5">
        <v>1.0105499999999994</v>
      </c>
      <c r="N107" s="5">
        <v>5.5525549999999999</v>
      </c>
      <c r="O107" s="5">
        <v>3</v>
      </c>
      <c r="P107" s="5">
        <f t="shared" si="1"/>
        <v>2.9859999999999998</v>
      </c>
      <c r="Q107" s="5" t="s">
        <v>147</v>
      </c>
      <c r="R107" s="5">
        <v>-2.5099999999999998</v>
      </c>
      <c r="S107" s="5">
        <v>0.99</v>
      </c>
      <c r="T107" s="5" t="s">
        <v>310</v>
      </c>
    </row>
    <row r="108" spans="1:20" ht="15" customHeight="1" x14ac:dyDescent="0.2">
      <c r="A108" s="5" t="s">
        <v>275</v>
      </c>
      <c r="B108" s="5" t="s">
        <v>277</v>
      </c>
      <c r="C108" s="5" t="s">
        <v>313</v>
      </c>
      <c r="D108" s="5" t="s">
        <v>276</v>
      </c>
      <c r="E108" s="5">
        <v>306.28820949239997</v>
      </c>
      <c r="F108" s="5">
        <v>0</v>
      </c>
      <c r="G108" s="5">
        <v>3</v>
      </c>
      <c r="H108" s="5">
        <v>33.200000000000003</v>
      </c>
      <c r="I108" s="5">
        <v>2.42</v>
      </c>
      <c r="J108" s="5">
        <v>6.65</v>
      </c>
      <c r="K108" s="5">
        <v>2.5510000000000002</v>
      </c>
      <c r="L108" s="5">
        <v>5.4185589525380005</v>
      </c>
      <c r="M108" s="5">
        <v>3.4131248060281125</v>
      </c>
      <c r="N108" s="5">
        <v>5.4971269999999999</v>
      </c>
      <c r="O108" s="5">
        <v>3</v>
      </c>
      <c r="P108" s="5">
        <f t="shared" si="1"/>
        <v>-0.44899999999999984</v>
      </c>
      <c r="Q108" s="5" t="s">
        <v>5</v>
      </c>
      <c r="R108" s="5">
        <v>-2.27</v>
      </c>
      <c r="S108" s="5">
        <v>-0.14000000000000001</v>
      </c>
      <c r="T108" s="5" t="s">
        <v>307</v>
      </c>
    </row>
    <row r="109" spans="1:20" ht="15" customHeight="1" x14ac:dyDescent="0.2">
      <c r="A109" s="5" t="s">
        <v>278</v>
      </c>
      <c r="B109" s="5" t="s">
        <v>279</v>
      </c>
      <c r="C109" s="5" t="s">
        <v>313</v>
      </c>
      <c r="D109" s="5" t="s">
        <v>276</v>
      </c>
      <c r="E109" s="5">
        <v>291.3018063289</v>
      </c>
      <c r="F109" s="5">
        <v>0</v>
      </c>
      <c r="G109" s="5">
        <v>4</v>
      </c>
      <c r="H109" s="5">
        <v>38.130000000000003</v>
      </c>
      <c r="I109" s="5">
        <v>1.27</v>
      </c>
      <c r="J109" s="5">
        <v>6.59</v>
      </c>
      <c r="K109" s="5">
        <v>0.73</v>
      </c>
      <c r="L109" s="5">
        <v>5.9065000000000003</v>
      </c>
      <c r="M109" s="5">
        <v>4.5023999999999997</v>
      </c>
      <c r="N109" s="5">
        <v>5.3308439999999999</v>
      </c>
      <c r="O109" s="5">
        <v>4</v>
      </c>
      <c r="P109" s="5">
        <f t="shared" si="1"/>
        <v>-3.27</v>
      </c>
      <c r="Q109" s="5" t="s">
        <v>5</v>
      </c>
      <c r="R109" s="5">
        <v>-2.3199999999999998</v>
      </c>
      <c r="S109" s="5">
        <v>-0.25</v>
      </c>
      <c r="T109" s="5" t="s">
        <v>308</v>
      </c>
    </row>
    <row r="110" spans="1:20" ht="15" customHeight="1" x14ac:dyDescent="0.2">
      <c r="A110" s="5" t="s">
        <v>280</v>
      </c>
      <c r="B110" s="5" t="s">
        <v>281</v>
      </c>
      <c r="C110" s="5" t="s">
        <v>313</v>
      </c>
      <c r="D110" s="5" t="s">
        <v>276</v>
      </c>
      <c r="E110" s="5">
        <v>310.25161265579993</v>
      </c>
      <c r="F110" s="5">
        <v>0</v>
      </c>
      <c r="G110" s="5">
        <v>3</v>
      </c>
      <c r="H110" s="5">
        <v>33.200000000000003</v>
      </c>
      <c r="I110" s="5">
        <v>2.2200000000000002</v>
      </c>
      <c r="J110" s="5">
        <v>3.94</v>
      </c>
      <c r="K110" s="5">
        <v>2.5089999999999999</v>
      </c>
      <c r="L110" s="5">
        <v>5.4987419367210002</v>
      </c>
      <c r="M110" s="5">
        <v>3.5072543280537056</v>
      </c>
      <c r="N110" s="5">
        <v>5.1668599999999998</v>
      </c>
      <c r="O110" s="5">
        <v>3</v>
      </c>
      <c r="P110" s="5">
        <f t="shared" si="1"/>
        <v>-0.4910000000000001</v>
      </c>
      <c r="Q110" s="5" t="s">
        <v>5</v>
      </c>
      <c r="R110" s="5">
        <v>-2.2799999999999998</v>
      </c>
      <c r="S110" s="5">
        <v>-0.24</v>
      </c>
      <c r="T110" s="5" t="s">
        <v>307</v>
      </c>
    </row>
    <row r="111" spans="1:20" ht="15" customHeight="1" x14ac:dyDescent="0.2">
      <c r="A111" s="5" t="s">
        <v>282</v>
      </c>
      <c r="B111" s="5" t="s">
        <v>284</v>
      </c>
      <c r="C111" s="5" t="s">
        <v>313</v>
      </c>
      <c r="D111" s="5" t="s">
        <v>283</v>
      </c>
      <c r="E111" s="5">
        <v>395.43040316610006</v>
      </c>
      <c r="F111" s="5">
        <v>0</v>
      </c>
      <c r="G111" s="5">
        <v>5</v>
      </c>
      <c r="H111" s="5">
        <v>48</v>
      </c>
      <c r="I111" s="5">
        <v>3.99</v>
      </c>
      <c r="J111" s="5">
        <v>0.47</v>
      </c>
      <c r="K111" s="5">
        <v>4.8540000000000001</v>
      </c>
      <c r="L111" s="5">
        <v>3.6008479841694996</v>
      </c>
      <c r="M111" s="5">
        <v>4</v>
      </c>
      <c r="N111" s="5">
        <v>4.3958649999999997</v>
      </c>
      <c r="O111" s="5">
        <v>5</v>
      </c>
      <c r="P111" s="5">
        <f t="shared" si="1"/>
        <v>-0.14599999999999991</v>
      </c>
      <c r="Q111" s="5" t="s">
        <v>5</v>
      </c>
      <c r="R111" s="5">
        <v>-2.86</v>
      </c>
      <c r="S111" s="5">
        <v>-7.0000000000000007E-2</v>
      </c>
      <c r="T111" s="5" t="s">
        <v>310</v>
      </c>
    </row>
    <row r="112" spans="1:20" ht="15" customHeight="1" x14ac:dyDescent="0.2">
      <c r="A112" s="5" t="s">
        <v>285</v>
      </c>
      <c r="B112" s="5" t="s">
        <v>286</v>
      </c>
      <c r="C112" s="5" t="s">
        <v>313</v>
      </c>
      <c r="D112" s="5" t="s">
        <v>283</v>
      </c>
      <c r="E112" s="5">
        <v>395.43040316610006</v>
      </c>
      <c r="F112" s="5">
        <v>0</v>
      </c>
      <c r="G112" s="5">
        <v>5</v>
      </c>
      <c r="H112" s="5">
        <v>48</v>
      </c>
      <c r="I112" s="5">
        <v>4.3600000000000003</v>
      </c>
      <c r="J112" s="5">
        <v>0.74</v>
      </c>
      <c r="K112" s="5">
        <v>4.8239999999999998</v>
      </c>
      <c r="L112" s="5">
        <v>3.6108479841694998</v>
      </c>
      <c r="M112" s="5">
        <v>4</v>
      </c>
      <c r="N112" s="5">
        <v>4.3819699999999999</v>
      </c>
      <c r="O112" s="5">
        <v>5</v>
      </c>
      <c r="P112" s="5">
        <f t="shared" si="1"/>
        <v>-0.17600000000000016</v>
      </c>
      <c r="Q112" s="5" t="s">
        <v>5</v>
      </c>
      <c r="R112" s="5">
        <v>-2.82</v>
      </c>
      <c r="S112" s="5">
        <v>0.12</v>
      </c>
      <c r="T112" s="5" t="s">
        <v>310</v>
      </c>
    </row>
    <row r="113" spans="1:20" ht="15" customHeight="1" x14ac:dyDescent="0.2">
      <c r="A113" s="5" t="s">
        <v>272</v>
      </c>
      <c r="B113" s="5" t="s">
        <v>274</v>
      </c>
      <c r="C113" s="5" t="s">
        <v>313</v>
      </c>
      <c r="D113" s="5" t="s">
        <v>273</v>
      </c>
      <c r="E113" s="5">
        <v>369.48040316629999</v>
      </c>
      <c r="F113" s="5">
        <v>1</v>
      </c>
      <c r="G113" s="5">
        <v>3</v>
      </c>
      <c r="H113" s="5">
        <v>32.700000000000003</v>
      </c>
      <c r="I113" s="5">
        <v>3.02</v>
      </c>
      <c r="J113" s="5">
        <v>8.32</v>
      </c>
      <c r="K113" s="5">
        <v>4.2069999999999999</v>
      </c>
      <c r="L113" s="5">
        <v>3.7640979841685001</v>
      </c>
      <c r="M113" s="5">
        <v>2.5787999999999998</v>
      </c>
      <c r="N113" s="5">
        <v>5.5019229999999997</v>
      </c>
      <c r="O113" s="5">
        <v>3</v>
      </c>
      <c r="P113" s="5">
        <f t="shared" si="1"/>
        <v>1.2069999999999999</v>
      </c>
      <c r="Q113" s="5" t="s">
        <v>5</v>
      </c>
      <c r="R113" s="5">
        <v>-2.4300000000000002</v>
      </c>
      <c r="S113" s="5">
        <v>0.52</v>
      </c>
      <c r="T113" s="5" t="s">
        <v>310</v>
      </c>
    </row>
    <row r="114" spans="1:20" ht="15" customHeight="1" x14ac:dyDescent="0.2">
      <c r="A114" s="5" t="s">
        <v>36</v>
      </c>
      <c r="B114" s="5" t="s">
        <v>38</v>
      </c>
      <c r="C114" s="5" t="s">
        <v>313</v>
      </c>
      <c r="D114" s="5" t="s">
        <v>37</v>
      </c>
      <c r="E114" s="5">
        <v>319.44500000259995</v>
      </c>
      <c r="F114" s="5">
        <v>1</v>
      </c>
      <c r="G114" s="5">
        <v>4</v>
      </c>
      <c r="H114" s="5">
        <v>41.93</v>
      </c>
      <c r="I114" s="5">
        <v>3.08</v>
      </c>
      <c r="J114" s="5">
        <v>7.55</v>
      </c>
      <c r="K114" s="5">
        <v>2.5209999999999999</v>
      </c>
      <c r="L114" s="5">
        <v>5.1127749999869998</v>
      </c>
      <c r="M114" s="5">
        <v>3.2460265999424891</v>
      </c>
      <c r="N114" s="5">
        <v>5.1495490000000004</v>
      </c>
      <c r="O114" s="5">
        <v>4</v>
      </c>
      <c r="P114" s="5">
        <f t="shared" si="1"/>
        <v>-1.4790000000000001</v>
      </c>
      <c r="Q114" s="5" t="s">
        <v>5</v>
      </c>
      <c r="R114" s="5">
        <v>-1.95</v>
      </c>
      <c r="S114" s="5">
        <v>0.75</v>
      </c>
      <c r="T114" s="5" t="s">
        <v>308</v>
      </c>
    </row>
    <row r="115" spans="1:20" ht="15" customHeight="1" x14ac:dyDescent="0.2">
      <c r="A115" s="5" t="s">
        <v>122</v>
      </c>
      <c r="B115" s="5" t="s">
        <v>123</v>
      </c>
      <c r="C115" s="5" t="s">
        <v>313</v>
      </c>
      <c r="D115" s="5" t="s">
        <v>37</v>
      </c>
      <c r="E115" s="5">
        <v>365.48940316644996</v>
      </c>
      <c r="F115" s="5">
        <v>1</v>
      </c>
      <c r="G115" s="5">
        <v>4</v>
      </c>
      <c r="H115" s="5">
        <v>41.93</v>
      </c>
      <c r="I115" s="5">
        <v>3.39</v>
      </c>
      <c r="J115" s="5">
        <v>7.55</v>
      </c>
      <c r="K115" s="5">
        <v>3.202</v>
      </c>
      <c r="L115" s="5">
        <v>4.6265529841677502</v>
      </c>
      <c r="M115" s="5">
        <v>3.6521499999999998</v>
      </c>
      <c r="N115" s="5">
        <v>5.1386599999999998</v>
      </c>
      <c r="O115" s="5">
        <v>4</v>
      </c>
      <c r="P115" s="5">
        <f t="shared" si="1"/>
        <v>-0.79800000000000004</v>
      </c>
      <c r="Q115" s="5" t="s">
        <v>5</v>
      </c>
      <c r="R115" s="5">
        <v>-1.9</v>
      </c>
      <c r="S115" s="5">
        <v>0.91</v>
      </c>
      <c r="T115" s="5" t="s">
        <v>308</v>
      </c>
    </row>
    <row r="116" spans="1:20" ht="15" customHeight="1" x14ac:dyDescent="0.2">
      <c r="A116" s="5" t="s">
        <v>146</v>
      </c>
      <c r="B116" s="5" t="s">
        <v>145</v>
      </c>
      <c r="C116" s="5" t="s">
        <v>313</v>
      </c>
      <c r="D116" s="5" t="s">
        <v>316</v>
      </c>
      <c r="E116" s="5">
        <v>182.19840316474998</v>
      </c>
      <c r="F116" s="5">
        <v>1</v>
      </c>
      <c r="G116" s="5">
        <v>3</v>
      </c>
      <c r="H116" s="5">
        <v>34.15</v>
      </c>
      <c r="I116" s="5">
        <v>-1.81</v>
      </c>
      <c r="J116" s="5">
        <v>9.94</v>
      </c>
      <c r="K116" s="5">
        <v>0.70899999999999996</v>
      </c>
      <c r="L116" s="5">
        <v>4.4875000000000007</v>
      </c>
      <c r="M116" s="5">
        <v>3.1839999999999997</v>
      </c>
      <c r="N116" s="5">
        <v>4.9126729999999998</v>
      </c>
      <c r="O116" s="5">
        <v>3</v>
      </c>
      <c r="P116" s="5">
        <f t="shared" si="1"/>
        <v>-2.2909999999999999</v>
      </c>
      <c r="Q116" s="5" t="s">
        <v>5</v>
      </c>
      <c r="R116" s="5">
        <v>-2.59</v>
      </c>
      <c r="S116" s="5">
        <v>-7.0000000000000007E-2</v>
      </c>
      <c r="T116" s="5" t="s">
        <v>311</v>
      </c>
    </row>
    <row r="117" spans="1:20" ht="15.75" customHeight="1" x14ac:dyDescent="0.2">
      <c r="A117" s="5" t="s">
        <v>235</v>
      </c>
      <c r="B117" s="5" t="s">
        <v>236</v>
      </c>
      <c r="C117" s="5" t="s">
        <v>313</v>
      </c>
      <c r="D117" s="5" t="s">
        <v>316</v>
      </c>
      <c r="E117" s="5">
        <v>194.20940316479997</v>
      </c>
      <c r="F117" s="5">
        <v>1</v>
      </c>
      <c r="G117" s="5">
        <v>3</v>
      </c>
      <c r="H117" s="5">
        <v>34.15</v>
      </c>
      <c r="I117" s="5">
        <v>0</v>
      </c>
      <c r="J117" s="5">
        <v>8.64</v>
      </c>
      <c r="K117" s="5">
        <v>0.98399999999999999</v>
      </c>
      <c r="L117" s="5">
        <v>5.1374999999999993</v>
      </c>
      <c r="M117" s="5">
        <v>3.5555999999999992</v>
      </c>
      <c r="N117" s="5">
        <v>4.9958359999999997</v>
      </c>
      <c r="O117" s="5">
        <v>3</v>
      </c>
      <c r="P117" s="5">
        <f t="shared" si="1"/>
        <v>-2.016</v>
      </c>
      <c r="Q117" s="5" t="s">
        <v>5</v>
      </c>
      <c r="R117" s="5">
        <v>-2.25</v>
      </c>
      <c r="S117" s="5">
        <v>-0.03</v>
      </c>
      <c r="T117" s="5" t="s">
        <v>308</v>
      </c>
    </row>
    <row r="118" spans="1:20" ht="15.75" customHeight="1" x14ac:dyDescent="0.2">
      <c r="A118" s="5" t="s">
        <v>237</v>
      </c>
      <c r="B118" s="5" t="s">
        <v>238</v>
      </c>
      <c r="C118" s="5" t="s">
        <v>313</v>
      </c>
      <c r="D118" s="5" t="s">
        <v>316</v>
      </c>
      <c r="E118" s="5">
        <v>283.35040316549998</v>
      </c>
      <c r="F118" s="5">
        <v>0</v>
      </c>
      <c r="G118" s="5">
        <v>3</v>
      </c>
      <c r="H118" s="5">
        <v>29.02</v>
      </c>
      <c r="I118" s="5">
        <v>-1.08</v>
      </c>
      <c r="J118" s="5">
        <v>10.37</v>
      </c>
      <c r="K118" s="5">
        <v>1.89</v>
      </c>
      <c r="L118" s="5">
        <v>4.4510000000000005</v>
      </c>
      <c r="M118" s="5">
        <v>3</v>
      </c>
      <c r="N118" s="5">
        <v>5.6305839999999998</v>
      </c>
      <c r="O118" s="5">
        <v>3</v>
      </c>
      <c r="P118" s="5">
        <f t="shared" si="1"/>
        <v>-1.1100000000000001</v>
      </c>
      <c r="Q118" s="5" t="s">
        <v>5</v>
      </c>
      <c r="R118" s="5">
        <v>-2.4</v>
      </c>
      <c r="S118" s="5">
        <v>-0.23</v>
      </c>
      <c r="T118" s="5" t="s">
        <v>309</v>
      </c>
    </row>
    <row r="119" spans="1:20" ht="15.75" customHeight="1" x14ac:dyDescent="0.2">
      <c r="A119" s="5" t="s">
        <v>239</v>
      </c>
      <c r="B119" s="5" t="s">
        <v>240</v>
      </c>
      <c r="C119" s="5" t="s">
        <v>313</v>
      </c>
      <c r="D119" s="5" t="s">
        <v>316</v>
      </c>
      <c r="E119" s="5">
        <v>206.26440316504997</v>
      </c>
      <c r="F119" s="5">
        <v>1</v>
      </c>
      <c r="G119" s="5">
        <v>2</v>
      </c>
      <c r="H119" s="5">
        <v>24.92</v>
      </c>
      <c r="I119" s="5">
        <v>-0.96</v>
      </c>
      <c r="J119" s="5">
        <v>10.23</v>
      </c>
      <c r="K119" s="5">
        <v>1.5369999999999999</v>
      </c>
      <c r="L119" s="5">
        <v>3.9960000000000004</v>
      </c>
      <c r="M119" s="5">
        <v>3</v>
      </c>
      <c r="N119" s="5">
        <v>5.3742570000000001</v>
      </c>
      <c r="O119" s="5">
        <v>2</v>
      </c>
      <c r="P119" s="5">
        <f t="shared" si="1"/>
        <v>-0.46300000000000008</v>
      </c>
      <c r="Q119" s="5" t="s">
        <v>5</v>
      </c>
      <c r="R119" s="5">
        <v>-2.0699999999999998</v>
      </c>
      <c r="S119" s="5">
        <v>0.14000000000000001</v>
      </c>
      <c r="T119" s="5" t="s">
        <v>309</v>
      </c>
    </row>
    <row r="120" spans="1:20" ht="15.75" customHeight="1" x14ac:dyDescent="0.2">
      <c r="A120" s="5" t="s">
        <v>241</v>
      </c>
      <c r="B120" s="5" t="s">
        <v>242</v>
      </c>
      <c r="C120" s="5" t="s">
        <v>313</v>
      </c>
      <c r="D120" s="5" t="s">
        <v>316</v>
      </c>
      <c r="E120" s="5">
        <v>290.10447000119996</v>
      </c>
      <c r="F120" s="5">
        <v>1</v>
      </c>
      <c r="G120" s="5">
        <v>3</v>
      </c>
      <c r="H120" s="5">
        <v>34.15</v>
      </c>
      <c r="I120" s="5">
        <v>-0.7</v>
      </c>
      <c r="J120" s="5">
        <v>10.050000000000001</v>
      </c>
      <c r="K120" s="5">
        <v>1.889</v>
      </c>
      <c r="L120" s="5">
        <v>4.4574999999999996</v>
      </c>
      <c r="M120" s="5">
        <v>3.1839999999999997</v>
      </c>
      <c r="N120" s="5">
        <v>5.0975739999999998</v>
      </c>
      <c r="O120" s="5">
        <v>3</v>
      </c>
      <c r="P120" s="5">
        <f t="shared" si="1"/>
        <v>-1.111</v>
      </c>
      <c r="Q120" s="5" t="s">
        <v>5</v>
      </c>
      <c r="R120" s="5">
        <v>-2.0099999999999998</v>
      </c>
      <c r="S120" s="5">
        <v>0.28000000000000003</v>
      </c>
      <c r="T120" s="5" t="s">
        <v>311</v>
      </c>
    </row>
    <row r="121" spans="1:20" ht="15.75" customHeight="1" x14ac:dyDescent="0.2">
      <c r="A121" s="5" t="s">
        <v>244</v>
      </c>
      <c r="B121" s="5" t="s">
        <v>243</v>
      </c>
      <c r="C121" s="5" t="s">
        <v>313</v>
      </c>
      <c r="D121" s="5" t="s">
        <v>316</v>
      </c>
      <c r="E121" s="5">
        <v>283.35040316549998</v>
      </c>
      <c r="F121" s="5">
        <v>0</v>
      </c>
      <c r="G121" s="5">
        <v>3</v>
      </c>
      <c r="H121" s="5">
        <v>29.02</v>
      </c>
      <c r="I121" s="5">
        <v>-1.07</v>
      </c>
      <c r="J121" s="5">
        <v>10.38</v>
      </c>
      <c r="K121" s="5">
        <v>2.1</v>
      </c>
      <c r="L121" s="5">
        <v>4.4510000000000005</v>
      </c>
      <c r="M121" s="5">
        <v>3</v>
      </c>
      <c r="N121" s="5">
        <v>5.6366170000000002</v>
      </c>
      <c r="O121" s="5">
        <v>3</v>
      </c>
      <c r="P121" s="5">
        <f t="shared" si="1"/>
        <v>-0.89999999999999991</v>
      </c>
      <c r="Q121" s="5" t="s">
        <v>5</v>
      </c>
      <c r="R121" s="5">
        <v>-2.39</v>
      </c>
      <c r="S121" s="5">
        <v>-0.22</v>
      </c>
      <c r="T121" s="5" t="s">
        <v>309</v>
      </c>
    </row>
    <row r="122" spans="1:20" ht="15" customHeight="1" x14ac:dyDescent="0.2">
      <c r="A122" s="5" t="s">
        <v>287</v>
      </c>
      <c r="B122" s="5" t="s">
        <v>288</v>
      </c>
      <c r="C122" s="5" t="s">
        <v>313</v>
      </c>
      <c r="D122" s="5" t="s">
        <v>22</v>
      </c>
      <c r="E122" s="5">
        <v>233.31100000179998</v>
      </c>
      <c r="F122" s="5">
        <v>1</v>
      </c>
      <c r="G122" s="5">
        <v>3</v>
      </c>
      <c r="H122" s="5">
        <v>38.33</v>
      </c>
      <c r="I122" s="5">
        <v>0.28000000000000003</v>
      </c>
      <c r="J122" s="5">
        <v>9.51</v>
      </c>
      <c r="K122" s="5">
        <v>2.556</v>
      </c>
      <c r="L122" s="5">
        <v>4.9115000000000002</v>
      </c>
      <c r="M122" s="5">
        <v>3.5183999999999997</v>
      </c>
      <c r="N122" s="5">
        <v>4.9521509999999997</v>
      </c>
      <c r="O122" s="5">
        <v>3</v>
      </c>
      <c r="P122" s="5">
        <f t="shared" si="1"/>
        <v>-0.44399999999999995</v>
      </c>
      <c r="Q122" s="5" t="s">
        <v>5</v>
      </c>
      <c r="R122" s="5">
        <v>-1.73</v>
      </c>
      <c r="S122" s="5">
        <v>0.56000000000000005</v>
      </c>
      <c r="T122" s="5" t="s">
        <v>311</v>
      </c>
    </row>
    <row r="123" spans="1:20" ht="17.25" customHeight="1" x14ac:dyDescent="0.2">
      <c r="A123" s="5" t="s">
        <v>320</v>
      </c>
      <c r="B123" s="5" t="s">
        <v>290</v>
      </c>
      <c r="C123" s="5" t="s">
        <v>314</v>
      </c>
      <c r="D123" s="5" t="s">
        <v>17</v>
      </c>
      <c r="E123" s="5">
        <v>314.85700000225</v>
      </c>
      <c r="F123" s="5">
        <v>0</v>
      </c>
      <c r="G123" s="5">
        <v>2</v>
      </c>
      <c r="H123" s="5">
        <v>6.48</v>
      </c>
      <c r="I123" s="5">
        <v>3.3</v>
      </c>
      <c r="J123" s="5">
        <v>9.4600000000000009</v>
      </c>
      <c r="K123" s="5">
        <v>5.9210000000000003</v>
      </c>
      <c r="L123" s="5">
        <v>2.5457149999887498</v>
      </c>
      <c r="M123" s="5">
        <v>1.7102631599502294</v>
      </c>
      <c r="N123" s="5">
        <v>5.0358200000000002</v>
      </c>
      <c r="O123" s="5">
        <v>2</v>
      </c>
      <c r="P123" s="5">
        <f t="shared" si="1"/>
        <v>3.9210000000000003</v>
      </c>
      <c r="Q123" s="5" t="s">
        <v>147</v>
      </c>
      <c r="R123" s="5">
        <v>-2.77</v>
      </c>
      <c r="S123" s="5">
        <v>0.56999999999999995</v>
      </c>
      <c r="T123" s="5" t="s">
        <v>310</v>
      </c>
    </row>
    <row r="124" spans="1:20" ht="17.25" customHeight="1" x14ac:dyDescent="0.2">
      <c r="A124" s="5" t="s">
        <v>321</v>
      </c>
      <c r="B124" s="5" t="s">
        <v>291</v>
      </c>
      <c r="C124" s="5" t="s">
        <v>314</v>
      </c>
      <c r="D124" s="5" t="s">
        <v>89</v>
      </c>
      <c r="E124" s="5">
        <v>266.3880000021</v>
      </c>
      <c r="F124" s="5">
        <v>1</v>
      </c>
      <c r="G124" s="5">
        <v>2</v>
      </c>
      <c r="H124" s="5">
        <v>15.27</v>
      </c>
      <c r="I124" s="5">
        <v>1.56</v>
      </c>
      <c r="J124" s="5">
        <v>10.4</v>
      </c>
      <c r="K124" s="5">
        <v>4.468</v>
      </c>
      <c r="L124" s="5">
        <v>3.016</v>
      </c>
      <c r="M124" s="5">
        <v>4</v>
      </c>
      <c r="N124" s="5">
        <v>5.5576930000000004</v>
      </c>
      <c r="O124" s="5">
        <v>2</v>
      </c>
      <c r="P124" s="5">
        <f t="shared" si="1"/>
        <v>2.468</v>
      </c>
      <c r="Q124" s="5" t="s">
        <v>5</v>
      </c>
      <c r="R124" s="5">
        <v>-1.98</v>
      </c>
      <c r="S124" s="5">
        <v>0.6</v>
      </c>
      <c r="T124" s="5" t="s">
        <v>310</v>
      </c>
    </row>
    <row r="125" spans="1:20" ht="17.25" customHeight="1" x14ac:dyDescent="0.2">
      <c r="A125" s="5" t="s">
        <v>322</v>
      </c>
      <c r="B125" s="5" t="s">
        <v>292</v>
      </c>
      <c r="C125" s="5" t="s">
        <v>314</v>
      </c>
      <c r="D125" s="5" t="s">
        <v>289</v>
      </c>
      <c r="E125" s="5">
        <v>284.74300000164993</v>
      </c>
      <c r="F125" s="5">
        <v>0</v>
      </c>
      <c r="G125" s="5">
        <v>3</v>
      </c>
      <c r="H125" s="5">
        <v>32.67</v>
      </c>
      <c r="I125" s="5">
        <v>2.92</v>
      </c>
      <c r="J125" s="5">
        <v>3.4</v>
      </c>
      <c r="K125" s="5">
        <v>2.9609999999999999</v>
      </c>
      <c r="L125" s="5">
        <v>5.1735000000000007</v>
      </c>
      <c r="M125" s="5">
        <v>3.0656000000000003</v>
      </c>
      <c r="N125" s="5">
        <v>5.1418359999999996</v>
      </c>
      <c r="O125" s="5">
        <v>3</v>
      </c>
      <c r="P125" s="5">
        <f t="shared" si="1"/>
        <v>-3.9000000000000146E-2</v>
      </c>
      <c r="Q125" s="5" t="s">
        <v>5</v>
      </c>
      <c r="R125" s="5">
        <v>-2.64</v>
      </c>
      <c r="S125" s="5">
        <v>-0.38</v>
      </c>
      <c r="T125" s="5" t="s">
        <v>310</v>
      </c>
    </row>
    <row r="126" spans="1:20" ht="17.25" customHeight="1" x14ac:dyDescent="0.2">
      <c r="A126" s="5" t="s">
        <v>323</v>
      </c>
      <c r="B126" s="5" t="s">
        <v>293</v>
      </c>
      <c r="C126" s="5" t="s">
        <v>314</v>
      </c>
      <c r="D126" s="5" t="s">
        <v>89</v>
      </c>
      <c r="E126" s="5">
        <v>271.36000000204996</v>
      </c>
      <c r="F126" s="5">
        <v>1</v>
      </c>
      <c r="G126" s="5">
        <v>3</v>
      </c>
      <c r="H126" s="5">
        <v>30.49</v>
      </c>
      <c r="I126" s="5">
        <v>0.31</v>
      </c>
      <c r="J126" s="5">
        <v>10.16</v>
      </c>
      <c r="K126" s="5">
        <v>3.177</v>
      </c>
      <c r="L126" s="5">
        <v>4.1859999999999999</v>
      </c>
      <c r="M126" s="5">
        <v>4</v>
      </c>
      <c r="N126" s="5">
        <v>5.5541669999999996</v>
      </c>
      <c r="O126" s="5">
        <v>3</v>
      </c>
      <c r="P126" s="5">
        <f t="shared" si="1"/>
        <v>0.17700000000000005</v>
      </c>
      <c r="Q126" s="5" t="s">
        <v>5</v>
      </c>
      <c r="R126" s="5">
        <v>-2.5499999999999998</v>
      </c>
      <c r="S126" s="5">
        <v>-0.18</v>
      </c>
      <c r="T126" s="5" t="s">
        <v>310</v>
      </c>
    </row>
    <row r="127" spans="1:20" ht="17.25" customHeight="1" x14ac:dyDescent="0.2">
      <c r="A127" s="5" t="s">
        <v>324</v>
      </c>
      <c r="B127" s="5" t="s">
        <v>294</v>
      </c>
      <c r="C127" s="5" t="s">
        <v>314</v>
      </c>
      <c r="D127" s="5" t="s">
        <v>17</v>
      </c>
      <c r="E127" s="5">
        <v>329.37140316574994</v>
      </c>
      <c r="F127" s="5">
        <v>1</v>
      </c>
      <c r="G127" s="5">
        <v>4</v>
      </c>
      <c r="H127" s="5">
        <v>39.72</v>
      </c>
      <c r="I127" s="5">
        <v>1.46</v>
      </c>
      <c r="J127" s="5">
        <v>9.68</v>
      </c>
      <c r="K127" s="5">
        <v>4.2380000000000004</v>
      </c>
      <c r="L127" s="5">
        <v>4.1301429841712505</v>
      </c>
      <c r="M127" s="5">
        <v>4.0039045619736111</v>
      </c>
      <c r="N127" s="5">
        <v>5.2554499999999997</v>
      </c>
      <c r="O127" s="5">
        <v>4</v>
      </c>
      <c r="P127" s="5">
        <f t="shared" si="1"/>
        <v>0.23800000000000043</v>
      </c>
      <c r="Q127" s="5" t="s">
        <v>5</v>
      </c>
      <c r="R127" s="5">
        <v>-2.25</v>
      </c>
      <c r="S127" s="5">
        <v>0.32</v>
      </c>
      <c r="T127" s="5" t="s">
        <v>310</v>
      </c>
    </row>
    <row r="128" spans="1:20" ht="17.25" customHeight="1" x14ac:dyDescent="0.2">
      <c r="A128" s="5" t="s">
        <v>325</v>
      </c>
      <c r="B128" s="5" t="s">
        <v>295</v>
      </c>
      <c r="C128" s="5" t="s">
        <v>314</v>
      </c>
      <c r="D128" s="5" t="s">
        <v>15</v>
      </c>
      <c r="E128" s="5">
        <v>371.27500000224995</v>
      </c>
      <c r="F128" s="5">
        <v>1</v>
      </c>
      <c r="G128" s="5">
        <v>5</v>
      </c>
      <c r="H128" s="5">
        <v>50.8</v>
      </c>
      <c r="I128" s="5">
        <v>0.75</v>
      </c>
      <c r="J128" s="5">
        <v>8.9700000000000006</v>
      </c>
      <c r="K128" s="5">
        <v>3.3660000000000001</v>
      </c>
      <c r="L128" s="5">
        <v>4.7256249999887494</v>
      </c>
      <c r="M128" s="5">
        <v>4.2280499999999996</v>
      </c>
      <c r="N128" s="5">
        <v>4.864865</v>
      </c>
      <c r="O128" s="5">
        <v>5</v>
      </c>
      <c r="P128" s="5">
        <f t="shared" si="1"/>
        <v>-1.6339999999999999</v>
      </c>
      <c r="Q128" s="5" t="s">
        <v>5</v>
      </c>
      <c r="R128" s="5">
        <v>-2.67</v>
      </c>
      <c r="S128" s="5">
        <v>0.3</v>
      </c>
      <c r="T128" s="5" t="s">
        <v>308</v>
      </c>
    </row>
    <row r="129" spans="1:20" ht="17.25" customHeight="1" x14ac:dyDescent="0.2">
      <c r="A129" s="5" t="s">
        <v>326</v>
      </c>
      <c r="B129" s="5" t="s">
        <v>296</v>
      </c>
      <c r="C129" s="5" t="s">
        <v>314</v>
      </c>
      <c r="D129" s="5" t="s">
        <v>17</v>
      </c>
      <c r="E129" s="5">
        <v>306.23000000184999</v>
      </c>
      <c r="F129" s="5">
        <v>1</v>
      </c>
      <c r="G129" s="5">
        <v>1</v>
      </c>
      <c r="H129" s="5">
        <v>12.03</v>
      </c>
      <c r="I129" s="5">
        <v>3.1</v>
      </c>
      <c r="J129" s="5">
        <v>9.4700000000000006</v>
      </c>
      <c r="K129" s="5">
        <v>5.3470000000000004</v>
      </c>
      <c r="L129" s="5">
        <v>2.4338499999907497</v>
      </c>
      <c r="M129" s="5">
        <v>1.896742399959078</v>
      </c>
      <c r="N129" s="5">
        <v>5.5373960000000002</v>
      </c>
      <c r="O129" s="5">
        <v>1</v>
      </c>
      <c r="P129" s="5">
        <f t="shared" si="1"/>
        <v>4.3470000000000004</v>
      </c>
      <c r="Q129" s="5" t="s">
        <v>147</v>
      </c>
      <c r="R129" s="5">
        <v>-2.4700000000000002</v>
      </c>
      <c r="S129" s="5">
        <v>0.36</v>
      </c>
      <c r="T129" s="5" t="s">
        <v>310</v>
      </c>
    </row>
    <row r="130" spans="1:20" ht="17.25" customHeight="1" x14ac:dyDescent="0.2">
      <c r="A130" s="5" t="s">
        <v>327</v>
      </c>
      <c r="B130" s="5" t="s">
        <v>297</v>
      </c>
      <c r="C130" s="5" t="s">
        <v>314</v>
      </c>
      <c r="D130" s="5" t="s">
        <v>17</v>
      </c>
      <c r="E130" s="5">
        <v>263.38100000219998</v>
      </c>
      <c r="F130" s="5">
        <v>1</v>
      </c>
      <c r="G130" s="5">
        <v>3</v>
      </c>
      <c r="H130" s="5">
        <v>32.700000000000003</v>
      </c>
      <c r="I130" s="5">
        <v>1.74</v>
      </c>
      <c r="J130" s="5">
        <v>8.73</v>
      </c>
      <c r="K130" s="5">
        <v>3.1789999999999998</v>
      </c>
      <c r="L130" s="5">
        <v>4.9305000000000003</v>
      </c>
      <c r="M130" s="5">
        <v>4.4387899999999991</v>
      </c>
      <c r="N130" s="5">
        <v>5.3319939999999999</v>
      </c>
      <c r="O130" s="5">
        <v>3</v>
      </c>
      <c r="P130" s="5">
        <f>K130-O130</f>
        <v>0.17899999999999983</v>
      </c>
      <c r="Q130" s="5" t="s">
        <v>5</v>
      </c>
      <c r="R130" s="5">
        <v>-2.13</v>
      </c>
      <c r="S130" s="5">
        <v>0.63</v>
      </c>
      <c r="T130" s="5" t="s">
        <v>308</v>
      </c>
    </row>
    <row r="131" spans="1:20" ht="15" customHeight="1" x14ac:dyDescent="0.2"/>
  </sheetData>
  <sortState xmlns:xlrd2="http://schemas.microsoft.com/office/spreadsheetml/2017/richdata2" ref="A2:F131">
    <sortCondition ref="D1"/>
  </sortState>
  <pageMargins left="0.7" right="0.7" top="0.75" bottom="0.75" header="0.3" footer="0.3"/>
  <pageSetup paperSize="9" scale="52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Johanna Steen</dc:creator>
  <cp:lastModifiedBy>Andrew Levy</cp:lastModifiedBy>
  <cp:lastPrinted>2021-12-20T15:29:52Z</cp:lastPrinted>
  <dcterms:created xsi:type="dcterms:W3CDTF">2020-09-01T09:35:00Z</dcterms:created>
  <dcterms:modified xsi:type="dcterms:W3CDTF">2025-04-29T12:22:40Z</dcterms:modified>
</cp:coreProperties>
</file>